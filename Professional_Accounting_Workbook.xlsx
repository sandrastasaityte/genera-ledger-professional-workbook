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ndra Stasaityte\Downloads\"/>
    </mc:Choice>
  </mc:AlternateContent>
  <xr:revisionPtr revIDLastSave="0" documentId="8_{64A58939-A2EC-4A8B-8F0D-442D5968B71E}" xr6:coauthVersionLast="47" xr6:coauthVersionMax="47" xr10:uidLastSave="{00000000-0000-0000-0000-000000000000}"/>
  <bookViews>
    <workbookView xWindow="-80" yWindow="-80" windowWidth="22560" windowHeight="13440" firstSheet="1" activeTab="6" xr2:uid="{00000000-000D-0000-FFFF-FFFF00000000}"/>
  </bookViews>
  <sheets>
    <sheet name="ChartOfAccounts" sheetId="1" r:id="rId1"/>
    <sheet name="NewTransaction" sheetId="2" r:id="rId2"/>
    <sheet name="Journal" sheetId="3" r:id="rId3"/>
    <sheet name="Ledger" sheetId="4" r:id="rId4"/>
    <sheet name="TAccounts" sheetId="5" r:id="rId5"/>
    <sheet name="TrialBalance" sheetId="6" r:id="rId6"/>
    <sheet name="FinancialStatements" sheetId="7" r:id="rId7"/>
  </sheets>
  <definedNames>
    <definedName name="AccountList">ChartOfAccounts!$A$2:$A$100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6" l="1"/>
  <c r="A7" i="6"/>
  <c r="A6" i="6"/>
  <c r="A5" i="6"/>
  <c r="A4" i="6"/>
  <c r="B4" i="7" s="1"/>
  <c r="A3" i="6"/>
  <c r="A2" i="6"/>
  <c r="C24" i="5"/>
  <c r="C19" i="5"/>
  <c r="E8" i="4"/>
  <c r="A8" i="4"/>
  <c r="B8" i="4" s="1"/>
  <c r="A7" i="4"/>
  <c r="E7" i="4" s="1"/>
  <c r="E6" i="4"/>
  <c r="A6" i="4"/>
  <c r="E5" i="4"/>
  <c r="A5" i="4"/>
  <c r="A4" i="4"/>
  <c r="E4" i="4" s="1"/>
  <c r="A3" i="4"/>
  <c r="C3" i="4" s="1"/>
  <c r="A2" i="4"/>
  <c r="E2" i="4" s="1"/>
  <c r="E201" i="3"/>
  <c r="C201" i="3"/>
  <c r="B201" i="3"/>
  <c r="A201" i="3"/>
  <c r="D201" i="3" s="1"/>
  <c r="D200" i="3"/>
  <c r="C200" i="3"/>
  <c r="B200" i="3"/>
  <c r="A200" i="3"/>
  <c r="E200" i="3" s="1"/>
  <c r="E199" i="3"/>
  <c r="D199" i="3"/>
  <c r="C199" i="3"/>
  <c r="B199" i="3"/>
  <c r="A199" i="3"/>
  <c r="D198" i="3"/>
  <c r="C198" i="3"/>
  <c r="B198" i="3"/>
  <c r="A198" i="3"/>
  <c r="E198" i="3" s="1"/>
  <c r="E197" i="3"/>
  <c r="C197" i="3"/>
  <c r="B197" i="3"/>
  <c r="A197" i="3"/>
  <c r="D197" i="3" s="1"/>
  <c r="E196" i="3"/>
  <c r="D196" i="3"/>
  <c r="C196" i="3"/>
  <c r="B196" i="3"/>
  <c r="A196" i="3"/>
  <c r="E195" i="3"/>
  <c r="C195" i="3"/>
  <c r="B195" i="3"/>
  <c r="A195" i="3"/>
  <c r="D195" i="3" s="1"/>
  <c r="E194" i="3"/>
  <c r="D194" i="3"/>
  <c r="C194" i="3"/>
  <c r="B194" i="3"/>
  <c r="A194" i="3"/>
  <c r="E193" i="3"/>
  <c r="D193" i="3"/>
  <c r="C193" i="3"/>
  <c r="B193" i="3"/>
  <c r="A193" i="3"/>
  <c r="D192" i="3"/>
  <c r="C192" i="3"/>
  <c r="B192" i="3"/>
  <c r="A192" i="3"/>
  <c r="E192" i="3" s="1"/>
  <c r="E191" i="3"/>
  <c r="C191" i="3"/>
  <c r="B191" i="3"/>
  <c r="A191" i="3"/>
  <c r="D191" i="3" s="1"/>
  <c r="E190" i="3"/>
  <c r="D190" i="3"/>
  <c r="C190" i="3"/>
  <c r="B190" i="3"/>
  <c r="A190" i="3"/>
  <c r="E189" i="3"/>
  <c r="C189" i="3"/>
  <c r="B189" i="3"/>
  <c r="A189" i="3"/>
  <c r="D189" i="3" s="1"/>
  <c r="D188" i="3"/>
  <c r="C188" i="3"/>
  <c r="B188" i="3"/>
  <c r="A188" i="3"/>
  <c r="E188" i="3" s="1"/>
  <c r="E187" i="3"/>
  <c r="D187" i="3"/>
  <c r="C187" i="3"/>
  <c r="B187" i="3"/>
  <c r="A187" i="3"/>
  <c r="D186" i="3"/>
  <c r="C186" i="3"/>
  <c r="B186" i="3"/>
  <c r="A186" i="3"/>
  <c r="E186" i="3" s="1"/>
  <c r="E185" i="3"/>
  <c r="C185" i="3"/>
  <c r="B185" i="3"/>
  <c r="A185" i="3"/>
  <c r="D185" i="3" s="1"/>
  <c r="D184" i="3"/>
  <c r="C184" i="3"/>
  <c r="B184" i="3"/>
  <c r="A184" i="3"/>
  <c r="E184" i="3" s="1"/>
  <c r="E183" i="3"/>
  <c r="D183" i="3"/>
  <c r="C183" i="3"/>
  <c r="B183" i="3"/>
  <c r="A183" i="3"/>
  <c r="D182" i="3"/>
  <c r="C182" i="3"/>
  <c r="B182" i="3"/>
  <c r="A182" i="3"/>
  <c r="E182" i="3" s="1"/>
  <c r="E181" i="3"/>
  <c r="C181" i="3"/>
  <c r="B181" i="3"/>
  <c r="A181" i="3"/>
  <c r="D181" i="3" s="1"/>
  <c r="E180" i="3"/>
  <c r="D180" i="3"/>
  <c r="C180" i="3"/>
  <c r="B180" i="3"/>
  <c r="A180" i="3"/>
  <c r="E179" i="3"/>
  <c r="C179" i="3"/>
  <c r="B179" i="3"/>
  <c r="A179" i="3"/>
  <c r="D179" i="3" s="1"/>
  <c r="E178" i="3"/>
  <c r="D178" i="3"/>
  <c r="C178" i="3"/>
  <c r="B178" i="3"/>
  <c r="A178" i="3"/>
  <c r="E177" i="3"/>
  <c r="D177" i="3"/>
  <c r="C177" i="3"/>
  <c r="B177" i="3"/>
  <c r="A177" i="3"/>
  <c r="D176" i="3"/>
  <c r="C176" i="3"/>
  <c r="B176" i="3"/>
  <c r="A176" i="3"/>
  <c r="E176" i="3" s="1"/>
  <c r="E175" i="3"/>
  <c r="C175" i="3"/>
  <c r="B175" i="3"/>
  <c r="A175" i="3"/>
  <c r="D175" i="3" s="1"/>
  <c r="E174" i="3"/>
  <c r="D174" i="3"/>
  <c r="C174" i="3"/>
  <c r="B174" i="3"/>
  <c r="A174" i="3"/>
  <c r="E173" i="3"/>
  <c r="C173" i="3"/>
  <c r="B173" i="3"/>
  <c r="A173" i="3"/>
  <c r="D173" i="3" s="1"/>
  <c r="D172" i="3"/>
  <c r="C172" i="3"/>
  <c r="B172" i="3"/>
  <c r="A172" i="3"/>
  <c r="E172" i="3" s="1"/>
  <c r="E171" i="3"/>
  <c r="D171" i="3"/>
  <c r="C171" i="3"/>
  <c r="B171" i="3"/>
  <c r="A171" i="3"/>
  <c r="D170" i="3"/>
  <c r="C170" i="3"/>
  <c r="B170" i="3"/>
  <c r="A170" i="3"/>
  <c r="E170" i="3" s="1"/>
  <c r="E169" i="3"/>
  <c r="C169" i="3"/>
  <c r="B169" i="3"/>
  <c r="A169" i="3"/>
  <c r="D169" i="3" s="1"/>
  <c r="D168" i="3"/>
  <c r="C168" i="3"/>
  <c r="B168" i="3"/>
  <c r="A168" i="3"/>
  <c r="E168" i="3" s="1"/>
  <c r="E167" i="3"/>
  <c r="D167" i="3"/>
  <c r="C167" i="3"/>
  <c r="B167" i="3"/>
  <c r="A167" i="3"/>
  <c r="D166" i="3"/>
  <c r="C166" i="3"/>
  <c r="B166" i="3"/>
  <c r="A166" i="3"/>
  <c r="E166" i="3" s="1"/>
  <c r="E165" i="3"/>
  <c r="C165" i="3"/>
  <c r="B165" i="3"/>
  <c r="A165" i="3"/>
  <c r="D165" i="3" s="1"/>
  <c r="E164" i="3"/>
  <c r="D164" i="3"/>
  <c r="C164" i="3"/>
  <c r="B164" i="3"/>
  <c r="A164" i="3"/>
  <c r="E163" i="3"/>
  <c r="C163" i="3"/>
  <c r="B163" i="3"/>
  <c r="A163" i="3"/>
  <c r="D163" i="3" s="1"/>
  <c r="E162" i="3"/>
  <c r="D162" i="3"/>
  <c r="C162" i="3"/>
  <c r="B162" i="3"/>
  <c r="A162" i="3"/>
  <c r="E161" i="3"/>
  <c r="D161" i="3"/>
  <c r="C161" i="3"/>
  <c r="B161" i="3"/>
  <c r="A161" i="3"/>
  <c r="D160" i="3"/>
  <c r="C160" i="3"/>
  <c r="B160" i="3"/>
  <c r="A160" i="3"/>
  <c r="E160" i="3" s="1"/>
  <c r="E159" i="3"/>
  <c r="C159" i="3"/>
  <c r="B159" i="3"/>
  <c r="A159" i="3"/>
  <c r="D159" i="3" s="1"/>
  <c r="E158" i="3"/>
  <c r="D158" i="3"/>
  <c r="C158" i="3"/>
  <c r="B158" i="3"/>
  <c r="A158" i="3"/>
  <c r="E157" i="3"/>
  <c r="C157" i="3"/>
  <c r="B157" i="3"/>
  <c r="A157" i="3"/>
  <c r="D157" i="3" s="1"/>
  <c r="D156" i="3"/>
  <c r="C156" i="3"/>
  <c r="B156" i="3"/>
  <c r="A156" i="3"/>
  <c r="E156" i="3" s="1"/>
  <c r="E155" i="3"/>
  <c r="D155" i="3"/>
  <c r="C155" i="3"/>
  <c r="B155" i="3"/>
  <c r="A155" i="3"/>
  <c r="D154" i="3"/>
  <c r="C154" i="3"/>
  <c r="B154" i="3"/>
  <c r="A154" i="3"/>
  <c r="E154" i="3" s="1"/>
  <c r="E153" i="3"/>
  <c r="C153" i="3"/>
  <c r="B153" i="3"/>
  <c r="A153" i="3"/>
  <c r="D153" i="3" s="1"/>
  <c r="D152" i="3"/>
  <c r="C152" i="3"/>
  <c r="B152" i="3"/>
  <c r="A152" i="3"/>
  <c r="E152" i="3" s="1"/>
  <c r="E151" i="3"/>
  <c r="D151" i="3"/>
  <c r="C151" i="3"/>
  <c r="B151" i="3"/>
  <c r="A151" i="3"/>
  <c r="D150" i="3"/>
  <c r="C150" i="3"/>
  <c r="B150" i="3"/>
  <c r="A150" i="3"/>
  <c r="E150" i="3" s="1"/>
  <c r="E149" i="3"/>
  <c r="C149" i="3"/>
  <c r="B149" i="3"/>
  <c r="A149" i="3"/>
  <c r="D149" i="3" s="1"/>
  <c r="E148" i="3"/>
  <c r="D148" i="3"/>
  <c r="C148" i="3"/>
  <c r="B148" i="3"/>
  <c r="A148" i="3"/>
  <c r="E147" i="3"/>
  <c r="C147" i="3"/>
  <c r="B147" i="3"/>
  <c r="A147" i="3"/>
  <c r="D147" i="3" s="1"/>
  <c r="E146" i="3"/>
  <c r="D146" i="3"/>
  <c r="C146" i="3"/>
  <c r="B146" i="3"/>
  <c r="A146" i="3"/>
  <c r="E145" i="3"/>
  <c r="D145" i="3"/>
  <c r="C145" i="3"/>
  <c r="B145" i="3"/>
  <c r="A145" i="3"/>
  <c r="D144" i="3"/>
  <c r="C144" i="3"/>
  <c r="B144" i="3"/>
  <c r="A144" i="3"/>
  <c r="E144" i="3" s="1"/>
  <c r="E143" i="3"/>
  <c r="C143" i="3"/>
  <c r="B143" i="3"/>
  <c r="A143" i="3"/>
  <c r="D143" i="3" s="1"/>
  <c r="E142" i="3"/>
  <c r="D142" i="3"/>
  <c r="C142" i="3"/>
  <c r="B142" i="3"/>
  <c r="A142" i="3"/>
  <c r="E141" i="3"/>
  <c r="C141" i="3"/>
  <c r="B141" i="3"/>
  <c r="A141" i="3"/>
  <c r="D141" i="3" s="1"/>
  <c r="D140" i="3"/>
  <c r="C140" i="3"/>
  <c r="B140" i="3"/>
  <c r="A140" i="3"/>
  <c r="E140" i="3" s="1"/>
  <c r="E139" i="3"/>
  <c r="D139" i="3"/>
  <c r="C139" i="3"/>
  <c r="B139" i="3"/>
  <c r="A139" i="3"/>
  <c r="D138" i="3"/>
  <c r="C138" i="3"/>
  <c r="B138" i="3"/>
  <c r="A138" i="3"/>
  <c r="E138" i="3" s="1"/>
  <c r="E137" i="3"/>
  <c r="C137" i="3"/>
  <c r="B137" i="3"/>
  <c r="A137" i="3"/>
  <c r="D137" i="3" s="1"/>
  <c r="D136" i="3"/>
  <c r="C136" i="3"/>
  <c r="B136" i="3"/>
  <c r="A136" i="3"/>
  <c r="E136" i="3" s="1"/>
  <c r="E135" i="3"/>
  <c r="D135" i="3"/>
  <c r="C135" i="3"/>
  <c r="B135" i="3"/>
  <c r="A135" i="3"/>
  <c r="D134" i="3"/>
  <c r="C134" i="3"/>
  <c r="B134" i="3"/>
  <c r="A134" i="3"/>
  <c r="E134" i="3" s="1"/>
  <c r="E133" i="3"/>
  <c r="C133" i="3"/>
  <c r="B133" i="3"/>
  <c r="A133" i="3"/>
  <c r="D133" i="3" s="1"/>
  <c r="E132" i="3"/>
  <c r="D132" i="3"/>
  <c r="C132" i="3"/>
  <c r="B132" i="3"/>
  <c r="A132" i="3"/>
  <c r="E131" i="3"/>
  <c r="C131" i="3"/>
  <c r="B131" i="3"/>
  <c r="A131" i="3"/>
  <c r="D131" i="3" s="1"/>
  <c r="E130" i="3"/>
  <c r="D130" i="3"/>
  <c r="C130" i="3"/>
  <c r="B130" i="3"/>
  <c r="A130" i="3"/>
  <c r="E129" i="3"/>
  <c r="D129" i="3"/>
  <c r="C129" i="3"/>
  <c r="B129" i="3"/>
  <c r="A129" i="3"/>
  <c r="D128" i="3"/>
  <c r="C128" i="3"/>
  <c r="B128" i="3"/>
  <c r="A128" i="3"/>
  <c r="E128" i="3" s="1"/>
  <c r="E127" i="3"/>
  <c r="C127" i="3"/>
  <c r="B127" i="3"/>
  <c r="A127" i="3"/>
  <c r="D127" i="3" s="1"/>
  <c r="E126" i="3"/>
  <c r="D126" i="3"/>
  <c r="C126" i="3"/>
  <c r="B126" i="3"/>
  <c r="A126" i="3"/>
  <c r="E125" i="3"/>
  <c r="C125" i="3"/>
  <c r="B125" i="3"/>
  <c r="A125" i="3"/>
  <c r="D125" i="3" s="1"/>
  <c r="D124" i="3"/>
  <c r="C124" i="3"/>
  <c r="B124" i="3"/>
  <c r="A124" i="3"/>
  <c r="E124" i="3" s="1"/>
  <c r="E123" i="3"/>
  <c r="D123" i="3"/>
  <c r="C123" i="3"/>
  <c r="B123" i="3"/>
  <c r="A123" i="3"/>
  <c r="D122" i="3"/>
  <c r="C122" i="3"/>
  <c r="B122" i="3"/>
  <c r="A122" i="3"/>
  <c r="E122" i="3" s="1"/>
  <c r="E121" i="3"/>
  <c r="C121" i="3"/>
  <c r="B121" i="3"/>
  <c r="A121" i="3"/>
  <c r="D121" i="3" s="1"/>
  <c r="D120" i="3"/>
  <c r="C120" i="3"/>
  <c r="B120" i="3"/>
  <c r="A120" i="3"/>
  <c r="E120" i="3" s="1"/>
  <c r="E119" i="3"/>
  <c r="D119" i="3"/>
  <c r="C119" i="3"/>
  <c r="B119" i="3"/>
  <c r="A119" i="3"/>
  <c r="D118" i="3"/>
  <c r="C118" i="3"/>
  <c r="B118" i="3"/>
  <c r="A118" i="3"/>
  <c r="E118" i="3" s="1"/>
  <c r="E117" i="3"/>
  <c r="C117" i="3"/>
  <c r="B117" i="3"/>
  <c r="A117" i="3"/>
  <c r="D117" i="3" s="1"/>
  <c r="E116" i="3"/>
  <c r="D116" i="3"/>
  <c r="C116" i="3"/>
  <c r="B116" i="3"/>
  <c r="A116" i="3"/>
  <c r="E115" i="3"/>
  <c r="C115" i="3"/>
  <c r="B115" i="3"/>
  <c r="A115" i="3"/>
  <c r="D115" i="3" s="1"/>
  <c r="E114" i="3"/>
  <c r="D114" i="3"/>
  <c r="C114" i="3"/>
  <c r="B114" i="3"/>
  <c r="A114" i="3"/>
  <c r="E113" i="3"/>
  <c r="D113" i="3"/>
  <c r="C113" i="3"/>
  <c r="B113" i="3"/>
  <c r="A113" i="3"/>
  <c r="D112" i="3"/>
  <c r="C112" i="3"/>
  <c r="B112" i="3"/>
  <c r="A112" i="3"/>
  <c r="E112" i="3" s="1"/>
  <c r="E111" i="3"/>
  <c r="C111" i="3"/>
  <c r="B111" i="3"/>
  <c r="A111" i="3"/>
  <c r="D111" i="3" s="1"/>
  <c r="E110" i="3"/>
  <c r="D110" i="3"/>
  <c r="C110" i="3"/>
  <c r="B110" i="3"/>
  <c r="A110" i="3"/>
  <c r="E109" i="3"/>
  <c r="C109" i="3"/>
  <c r="B109" i="3"/>
  <c r="A109" i="3"/>
  <c r="D109" i="3" s="1"/>
  <c r="D108" i="3"/>
  <c r="C108" i="3"/>
  <c r="B108" i="3"/>
  <c r="A108" i="3"/>
  <c r="E108" i="3" s="1"/>
  <c r="E107" i="3"/>
  <c r="D107" i="3"/>
  <c r="C107" i="3"/>
  <c r="B107" i="3"/>
  <c r="A107" i="3"/>
  <c r="D106" i="3"/>
  <c r="C106" i="3"/>
  <c r="B106" i="3"/>
  <c r="A106" i="3"/>
  <c r="E106" i="3" s="1"/>
  <c r="E105" i="3"/>
  <c r="C105" i="3"/>
  <c r="B105" i="3"/>
  <c r="A105" i="3"/>
  <c r="D105" i="3" s="1"/>
  <c r="D104" i="3"/>
  <c r="C104" i="3"/>
  <c r="B104" i="3"/>
  <c r="A104" i="3"/>
  <c r="E104" i="3" s="1"/>
  <c r="E103" i="3"/>
  <c r="D103" i="3"/>
  <c r="C103" i="3"/>
  <c r="B103" i="3"/>
  <c r="A103" i="3"/>
  <c r="D102" i="3"/>
  <c r="C102" i="3"/>
  <c r="B102" i="3"/>
  <c r="A102" i="3"/>
  <c r="E102" i="3" s="1"/>
  <c r="E101" i="3"/>
  <c r="C101" i="3"/>
  <c r="B101" i="3"/>
  <c r="A101" i="3"/>
  <c r="D101" i="3" s="1"/>
  <c r="E100" i="3"/>
  <c r="D100" i="3"/>
  <c r="C100" i="3"/>
  <c r="B100" i="3"/>
  <c r="A100" i="3"/>
  <c r="E99" i="3"/>
  <c r="C99" i="3"/>
  <c r="B99" i="3"/>
  <c r="A99" i="3"/>
  <c r="D99" i="3" s="1"/>
  <c r="E98" i="3"/>
  <c r="D98" i="3"/>
  <c r="C98" i="3"/>
  <c r="B98" i="3"/>
  <c r="A98" i="3"/>
  <c r="E97" i="3"/>
  <c r="D97" i="3"/>
  <c r="C97" i="3"/>
  <c r="B97" i="3"/>
  <c r="A97" i="3"/>
  <c r="D96" i="3"/>
  <c r="C96" i="3"/>
  <c r="B96" i="3"/>
  <c r="A96" i="3"/>
  <c r="E96" i="3" s="1"/>
  <c r="E95" i="3"/>
  <c r="C95" i="3"/>
  <c r="B95" i="3"/>
  <c r="A95" i="3"/>
  <c r="D95" i="3" s="1"/>
  <c r="E94" i="3"/>
  <c r="D94" i="3"/>
  <c r="C94" i="3"/>
  <c r="B94" i="3"/>
  <c r="A94" i="3"/>
  <c r="E93" i="3"/>
  <c r="C93" i="3"/>
  <c r="B93" i="3"/>
  <c r="A93" i="3"/>
  <c r="D93" i="3" s="1"/>
  <c r="D92" i="3"/>
  <c r="C92" i="3"/>
  <c r="B92" i="3"/>
  <c r="A92" i="3"/>
  <c r="E92" i="3" s="1"/>
  <c r="E91" i="3"/>
  <c r="D91" i="3"/>
  <c r="C91" i="3"/>
  <c r="B91" i="3"/>
  <c r="A91" i="3"/>
  <c r="D90" i="3"/>
  <c r="C90" i="3"/>
  <c r="B90" i="3"/>
  <c r="A90" i="3"/>
  <c r="E90" i="3" s="1"/>
  <c r="E89" i="3"/>
  <c r="C89" i="3"/>
  <c r="B89" i="3"/>
  <c r="A89" i="3"/>
  <c r="D89" i="3" s="1"/>
  <c r="D88" i="3"/>
  <c r="C88" i="3"/>
  <c r="B88" i="3"/>
  <c r="A88" i="3"/>
  <c r="E88" i="3" s="1"/>
  <c r="E87" i="3"/>
  <c r="D87" i="3"/>
  <c r="C87" i="3"/>
  <c r="B87" i="3"/>
  <c r="A87" i="3"/>
  <c r="D86" i="3"/>
  <c r="C86" i="3"/>
  <c r="B86" i="3"/>
  <c r="A86" i="3"/>
  <c r="E86" i="3" s="1"/>
  <c r="E85" i="3"/>
  <c r="C85" i="3"/>
  <c r="B85" i="3"/>
  <c r="A85" i="3"/>
  <c r="D85" i="3" s="1"/>
  <c r="E84" i="3"/>
  <c r="D84" i="3"/>
  <c r="C84" i="3"/>
  <c r="B84" i="3"/>
  <c r="A84" i="3"/>
  <c r="E83" i="3"/>
  <c r="C83" i="3"/>
  <c r="B83" i="3"/>
  <c r="A83" i="3"/>
  <c r="D83" i="3" s="1"/>
  <c r="E82" i="3"/>
  <c r="D82" i="3"/>
  <c r="C82" i="3"/>
  <c r="B82" i="3"/>
  <c r="A82" i="3"/>
  <c r="E81" i="3"/>
  <c r="D81" i="3"/>
  <c r="C81" i="3"/>
  <c r="B81" i="3"/>
  <c r="A81" i="3"/>
  <c r="D80" i="3"/>
  <c r="C80" i="3"/>
  <c r="B80" i="3"/>
  <c r="A80" i="3"/>
  <c r="E80" i="3" s="1"/>
  <c r="E79" i="3"/>
  <c r="C79" i="3"/>
  <c r="B79" i="3"/>
  <c r="A79" i="3"/>
  <c r="D79" i="3" s="1"/>
  <c r="E78" i="3"/>
  <c r="D78" i="3"/>
  <c r="C78" i="3"/>
  <c r="B78" i="3"/>
  <c r="A78" i="3"/>
  <c r="E77" i="3"/>
  <c r="C77" i="3"/>
  <c r="B77" i="3"/>
  <c r="A77" i="3"/>
  <c r="D77" i="3" s="1"/>
  <c r="D76" i="3"/>
  <c r="C76" i="3"/>
  <c r="B76" i="3"/>
  <c r="A76" i="3"/>
  <c r="E76" i="3" s="1"/>
  <c r="E75" i="3"/>
  <c r="D75" i="3"/>
  <c r="C75" i="3"/>
  <c r="B75" i="3"/>
  <c r="A75" i="3"/>
  <c r="E74" i="3"/>
  <c r="D74" i="3"/>
  <c r="C74" i="3"/>
  <c r="B74" i="3"/>
  <c r="A74" i="3"/>
  <c r="E73" i="3"/>
  <c r="C73" i="3"/>
  <c r="B73" i="3"/>
  <c r="A73" i="3"/>
  <c r="D73" i="3" s="1"/>
  <c r="D72" i="3"/>
  <c r="C72" i="3"/>
  <c r="B72" i="3"/>
  <c r="A72" i="3"/>
  <c r="E72" i="3" s="1"/>
  <c r="E71" i="3"/>
  <c r="D71" i="3"/>
  <c r="C71" i="3"/>
  <c r="B71" i="3"/>
  <c r="A71" i="3"/>
  <c r="D70" i="3"/>
  <c r="C70" i="3"/>
  <c r="B70" i="3"/>
  <c r="A70" i="3"/>
  <c r="E70" i="3" s="1"/>
  <c r="E69" i="3"/>
  <c r="C69" i="3"/>
  <c r="B69" i="3"/>
  <c r="A69" i="3"/>
  <c r="D69" i="3" s="1"/>
  <c r="E68" i="3"/>
  <c r="D68" i="3"/>
  <c r="C68" i="3"/>
  <c r="B68" i="3"/>
  <c r="A68" i="3"/>
  <c r="E67" i="3"/>
  <c r="C67" i="3"/>
  <c r="B67" i="3"/>
  <c r="A67" i="3"/>
  <c r="D67" i="3" s="1"/>
  <c r="E66" i="3"/>
  <c r="D66" i="3"/>
  <c r="C66" i="3"/>
  <c r="B66" i="3"/>
  <c r="A66" i="3"/>
  <c r="E65" i="3"/>
  <c r="D65" i="3"/>
  <c r="C65" i="3"/>
  <c r="B65" i="3"/>
  <c r="A65" i="3"/>
  <c r="D64" i="3"/>
  <c r="C64" i="3"/>
  <c r="B64" i="3"/>
  <c r="A64" i="3"/>
  <c r="E64" i="3" s="1"/>
  <c r="E63" i="3"/>
  <c r="C63" i="3"/>
  <c r="B63" i="3"/>
  <c r="A63" i="3"/>
  <c r="D63" i="3" s="1"/>
  <c r="E62" i="3"/>
  <c r="D62" i="3"/>
  <c r="C62" i="3"/>
  <c r="B62" i="3"/>
  <c r="A62" i="3"/>
  <c r="E61" i="3"/>
  <c r="C61" i="3"/>
  <c r="B61" i="3"/>
  <c r="A61" i="3"/>
  <c r="D61" i="3" s="1"/>
  <c r="D60" i="3"/>
  <c r="C60" i="3"/>
  <c r="B60" i="3"/>
  <c r="A60" i="3"/>
  <c r="E60" i="3" s="1"/>
  <c r="E59" i="3"/>
  <c r="D59" i="3"/>
  <c r="C59" i="3"/>
  <c r="B59" i="3"/>
  <c r="A59" i="3"/>
  <c r="E58" i="3"/>
  <c r="D58" i="3"/>
  <c r="C58" i="3"/>
  <c r="B58" i="3"/>
  <c r="A58" i="3"/>
  <c r="E57" i="3"/>
  <c r="C57" i="3"/>
  <c r="B57" i="3"/>
  <c r="A57" i="3"/>
  <c r="D57" i="3" s="1"/>
  <c r="D56" i="3"/>
  <c r="C56" i="3"/>
  <c r="B56" i="3"/>
  <c r="A56" i="3"/>
  <c r="E56" i="3" s="1"/>
  <c r="E55" i="3"/>
  <c r="D55" i="3"/>
  <c r="C55" i="3"/>
  <c r="B55" i="3"/>
  <c r="A55" i="3"/>
  <c r="D54" i="3"/>
  <c r="C54" i="3"/>
  <c r="B54" i="3"/>
  <c r="A54" i="3"/>
  <c r="E54" i="3" s="1"/>
  <c r="E53" i="3"/>
  <c r="C53" i="3"/>
  <c r="B53" i="3"/>
  <c r="A53" i="3"/>
  <c r="D53" i="3" s="1"/>
  <c r="E52" i="3"/>
  <c r="D52" i="3"/>
  <c r="C52" i="3"/>
  <c r="B52" i="3"/>
  <c r="A52" i="3"/>
  <c r="E51" i="3"/>
  <c r="C51" i="3"/>
  <c r="B51" i="3"/>
  <c r="A51" i="3"/>
  <c r="D51" i="3" s="1"/>
  <c r="E50" i="3"/>
  <c r="D50" i="3"/>
  <c r="C50" i="3"/>
  <c r="B50" i="3"/>
  <c r="A50" i="3"/>
  <c r="E49" i="3"/>
  <c r="D49" i="3"/>
  <c r="C49" i="3"/>
  <c r="B49" i="3"/>
  <c r="A49" i="3"/>
  <c r="D48" i="3"/>
  <c r="C48" i="3"/>
  <c r="B48" i="3"/>
  <c r="A48" i="3"/>
  <c r="E48" i="3" s="1"/>
  <c r="E47" i="3"/>
  <c r="C47" i="3"/>
  <c r="B47" i="3"/>
  <c r="A47" i="3"/>
  <c r="D47" i="3" s="1"/>
  <c r="E46" i="3"/>
  <c r="D46" i="3"/>
  <c r="C46" i="3"/>
  <c r="B46" i="3"/>
  <c r="A46" i="3"/>
  <c r="E45" i="3"/>
  <c r="C45" i="3"/>
  <c r="B45" i="3"/>
  <c r="A45" i="3"/>
  <c r="D45" i="3" s="1"/>
  <c r="D44" i="3"/>
  <c r="C44" i="3"/>
  <c r="B44" i="3"/>
  <c r="A44" i="3"/>
  <c r="E44" i="3" s="1"/>
  <c r="E43" i="3"/>
  <c r="D43" i="3"/>
  <c r="C43" i="3"/>
  <c r="B43" i="3"/>
  <c r="A43" i="3"/>
  <c r="E42" i="3"/>
  <c r="D42" i="3"/>
  <c r="C42" i="3"/>
  <c r="B42" i="3"/>
  <c r="A42" i="3"/>
  <c r="E41" i="3"/>
  <c r="C41" i="3"/>
  <c r="B41" i="3"/>
  <c r="A41" i="3"/>
  <c r="D41" i="3" s="1"/>
  <c r="D40" i="3"/>
  <c r="C40" i="3"/>
  <c r="B40" i="3"/>
  <c r="A40" i="3"/>
  <c r="E40" i="3" s="1"/>
  <c r="E39" i="3"/>
  <c r="D39" i="3"/>
  <c r="C39" i="3"/>
  <c r="B39" i="3"/>
  <c r="A39" i="3"/>
  <c r="D38" i="3"/>
  <c r="C38" i="3"/>
  <c r="B38" i="3"/>
  <c r="A38" i="3"/>
  <c r="E38" i="3" s="1"/>
  <c r="E37" i="3"/>
  <c r="C37" i="3"/>
  <c r="B37" i="3"/>
  <c r="A37" i="3"/>
  <c r="D37" i="3" s="1"/>
  <c r="E36" i="3"/>
  <c r="D36" i="3"/>
  <c r="C36" i="3"/>
  <c r="B36" i="3"/>
  <c r="A36" i="3"/>
  <c r="E35" i="3"/>
  <c r="C35" i="3"/>
  <c r="B35" i="3"/>
  <c r="A35" i="3"/>
  <c r="D35" i="3" s="1"/>
  <c r="E34" i="3"/>
  <c r="D34" i="3"/>
  <c r="C34" i="3"/>
  <c r="B34" i="3"/>
  <c r="A34" i="3"/>
  <c r="E33" i="3"/>
  <c r="D33" i="3"/>
  <c r="C33" i="3"/>
  <c r="B33" i="3"/>
  <c r="A33" i="3"/>
  <c r="D32" i="3"/>
  <c r="C32" i="3"/>
  <c r="B32" i="3"/>
  <c r="A32" i="3"/>
  <c r="E32" i="3" s="1"/>
  <c r="E31" i="3"/>
  <c r="C31" i="3"/>
  <c r="B31" i="3"/>
  <c r="A31" i="3"/>
  <c r="D31" i="3" s="1"/>
  <c r="E30" i="3"/>
  <c r="D30" i="3"/>
  <c r="C30" i="3"/>
  <c r="B30" i="3"/>
  <c r="A30" i="3"/>
  <c r="E29" i="3"/>
  <c r="C29" i="3"/>
  <c r="B29" i="3"/>
  <c r="A29" i="3"/>
  <c r="D29" i="3" s="1"/>
  <c r="D28" i="3"/>
  <c r="C28" i="3"/>
  <c r="B28" i="3"/>
  <c r="A28" i="3"/>
  <c r="E28" i="3" s="1"/>
  <c r="E27" i="3"/>
  <c r="D27" i="3"/>
  <c r="C27" i="3"/>
  <c r="B27" i="3"/>
  <c r="A27" i="3"/>
  <c r="E26" i="3"/>
  <c r="D26" i="3"/>
  <c r="C26" i="3"/>
  <c r="B26" i="3"/>
  <c r="A26" i="3"/>
  <c r="E25" i="3"/>
  <c r="C25" i="3"/>
  <c r="B25" i="3"/>
  <c r="A25" i="3"/>
  <c r="D25" i="3" s="1"/>
  <c r="D24" i="3"/>
  <c r="C24" i="3"/>
  <c r="B24" i="3"/>
  <c r="A24" i="3"/>
  <c r="E24" i="3" s="1"/>
  <c r="E23" i="3"/>
  <c r="D23" i="3"/>
  <c r="C23" i="3"/>
  <c r="B23" i="3"/>
  <c r="A23" i="3"/>
  <c r="D22" i="3"/>
  <c r="C22" i="3"/>
  <c r="B22" i="3"/>
  <c r="A22" i="3"/>
  <c r="E22" i="3" s="1"/>
  <c r="E21" i="3"/>
  <c r="C21" i="3"/>
  <c r="B21" i="3"/>
  <c r="A21" i="3"/>
  <c r="D21" i="3" s="1"/>
  <c r="E20" i="3"/>
  <c r="D20" i="3"/>
  <c r="C20" i="3"/>
  <c r="B20" i="3"/>
  <c r="A20" i="3"/>
  <c r="E19" i="3"/>
  <c r="C19" i="3"/>
  <c r="B19" i="3"/>
  <c r="A19" i="3"/>
  <c r="D19" i="3" s="1"/>
  <c r="E18" i="3"/>
  <c r="D18" i="3"/>
  <c r="C18" i="3"/>
  <c r="B18" i="3"/>
  <c r="A18" i="3"/>
  <c r="E17" i="3"/>
  <c r="D17" i="3"/>
  <c r="C17" i="3"/>
  <c r="B17" i="3"/>
  <c r="A17" i="3"/>
  <c r="D16" i="3"/>
  <c r="C16" i="3"/>
  <c r="B16" i="3"/>
  <c r="A16" i="3"/>
  <c r="E16" i="3" s="1"/>
  <c r="E15" i="3"/>
  <c r="C15" i="3"/>
  <c r="B15" i="3"/>
  <c r="A15" i="3"/>
  <c r="D15" i="3" s="1"/>
  <c r="E14" i="3"/>
  <c r="D14" i="3"/>
  <c r="C14" i="3"/>
  <c r="B29" i="5" s="1"/>
  <c r="B30" i="5" s="1"/>
  <c r="B14" i="3"/>
  <c r="A14" i="3"/>
  <c r="E13" i="3"/>
  <c r="C13" i="3"/>
  <c r="B13" i="3"/>
  <c r="A13" i="3"/>
  <c r="D13" i="3" s="1"/>
  <c r="B24" i="5" s="1"/>
  <c r="B25" i="5" s="1"/>
  <c r="D12" i="3"/>
  <c r="C12" i="3"/>
  <c r="B12" i="3"/>
  <c r="A12" i="3"/>
  <c r="E12" i="3" s="1"/>
  <c r="E11" i="3"/>
  <c r="D11" i="3"/>
  <c r="C11" i="3"/>
  <c r="B11" i="3"/>
  <c r="A11" i="3"/>
  <c r="E10" i="3"/>
  <c r="D10" i="3"/>
  <c r="C10" i="3"/>
  <c r="B10" i="3"/>
  <c r="A10" i="3"/>
  <c r="E9" i="3"/>
  <c r="C9" i="3"/>
  <c r="B9" i="3"/>
  <c r="A9" i="3"/>
  <c r="D9" i="3" s="1"/>
  <c r="D8" i="3"/>
  <c r="C8" i="3"/>
  <c r="B8" i="3"/>
  <c r="A8" i="3"/>
  <c r="E8" i="3" s="1"/>
  <c r="E7" i="3"/>
  <c r="D7" i="3"/>
  <c r="C7" i="3"/>
  <c r="B7" i="3"/>
  <c r="A7" i="3"/>
  <c r="D6" i="3"/>
  <c r="C6" i="3"/>
  <c r="B6" i="3"/>
  <c r="A6" i="3"/>
  <c r="E6" i="3" s="1"/>
  <c r="C29" i="5" s="1"/>
  <c r="E5" i="3"/>
  <c r="C5" i="3"/>
  <c r="B5" i="3"/>
  <c r="A5" i="3"/>
  <c r="D5" i="3" s="1"/>
  <c r="E4" i="3"/>
  <c r="D4" i="3"/>
  <c r="C4" i="3"/>
  <c r="B4" i="3"/>
  <c r="A4" i="3"/>
  <c r="E3" i="3"/>
  <c r="C3" i="3"/>
  <c r="B3" i="3"/>
  <c r="A3" i="3"/>
  <c r="D3" i="3" s="1"/>
  <c r="E2" i="3"/>
  <c r="D2" i="3"/>
  <c r="C2" i="3"/>
  <c r="C4" i="5" s="1"/>
  <c r="B2" i="3"/>
  <c r="A2" i="3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8" i="2"/>
  <c r="F7" i="2"/>
  <c r="F6" i="2"/>
  <c r="F5" i="2"/>
  <c r="F4" i="2"/>
  <c r="F3" i="2"/>
  <c r="F2" i="2"/>
  <c r="B6" i="4" l="1"/>
  <c r="B4" i="4"/>
  <c r="B9" i="5"/>
  <c r="B10" i="5" s="1"/>
  <c r="C34" i="5"/>
  <c r="C4" i="4"/>
  <c r="C9" i="5"/>
  <c r="B14" i="5"/>
  <c r="B15" i="5" s="1"/>
  <c r="C39" i="5"/>
  <c r="B34" i="5"/>
  <c r="B39" i="5"/>
  <c r="C14" i="5"/>
  <c r="C8" i="4"/>
  <c r="D8" i="4" s="1"/>
  <c r="E3" i="4"/>
  <c r="F3" i="4" s="1"/>
  <c r="B7" i="4"/>
  <c r="C7" i="4"/>
  <c r="B2" i="4"/>
  <c r="D2" i="4" s="1"/>
  <c r="C2" i="4"/>
  <c r="B5" i="4"/>
  <c r="B19" i="5"/>
  <c r="B20" i="5" s="1"/>
  <c r="C6" i="4"/>
  <c r="C5" i="4"/>
  <c r="B3" i="4"/>
  <c r="D3" i="4" s="1"/>
  <c r="B4" i="5"/>
  <c r="B5" i="5" s="1"/>
  <c r="C8" i="6" l="1"/>
  <c r="B8" i="6"/>
  <c r="B6" i="7" s="1"/>
  <c r="F8" i="4"/>
  <c r="C2" i="6"/>
  <c r="B2" i="6"/>
  <c r="D5" i="4"/>
  <c r="D6" i="4"/>
  <c r="D7" i="4"/>
  <c r="F2" i="4"/>
  <c r="B40" i="5"/>
  <c r="D4" i="4"/>
  <c r="C3" i="6"/>
  <c r="B3" i="6"/>
  <c r="E6" i="7" s="1"/>
  <c r="B35" i="5"/>
  <c r="B5" i="6" l="1"/>
  <c r="C5" i="6"/>
  <c r="E11" i="7" s="1"/>
  <c r="E12" i="7" s="1"/>
  <c r="E19" i="7" s="1"/>
  <c r="F5" i="4"/>
  <c r="E5" i="7"/>
  <c r="C4" i="6"/>
  <c r="B4" i="6"/>
  <c r="E7" i="7" s="1"/>
  <c r="F4" i="4"/>
  <c r="C7" i="6"/>
  <c r="B7" i="6"/>
  <c r="B5" i="7" s="1"/>
  <c r="B7" i="7" s="1"/>
  <c r="B8" i="7" s="1"/>
  <c r="E16" i="7" s="1"/>
  <c r="F7" i="4"/>
  <c r="B6" i="6"/>
  <c r="C6" i="6"/>
  <c r="E15" i="7" s="1"/>
  <c r="E17" i="7" s="1"/>
  <c r="F6" i="4"/>
  <c r="C10" i="6" l="1"/>
  <c r="E8" i="7"/>
  <c r="E20" i="7" s="1"/>
  <c r="E21" i="7" s="1"/>
  <c r="B10" i="6"/>
  <c r="B11" i="6" s="1"/>
  <c r="B12" i="6" s="1"/>
</calcChain>
</file>

<file path=xl/sharedStrings.xml><?xml version="1.0" encoding="utf-8"?>
<sst xmlns="http://schemas.openxmlformats.org/spreadsheetml/2006/main" count="140" uniqueCount="65">
  <si>
    <t>Account</t>
  </si>
  <si>
    <t>Type</t>
  </si>
  <si>
    <t>Category</t>
  </si>
  <si>
    <t>Cash</t>
  </si>
  <si>
    <t>Asset</t>
  </si>
  <si>
    <t>Current Asset</t>
  </si>
  <si>
    <t>Equipment</t>
  </si>
  <si>
    <t>Non-Current Asset</t>
  </si>
  <si>
    <t>Office Supplies</t>
  </si>
  <si>
    <t>Accounts Payable</t>
  </si>
  <si>
    <t>Liability</t>
  </si>
  <si>
    <t>Current Liability</t>
  </si>
  <si>
    <t>Owner's Capital</t>
  </si>
  <si>
    <t>Equity</t>
  </si>
  <si>
    <t>Owner Equity</t>
  </si>
  <si>
    <t>Rent Expense</t>
  </si>
  <si>
    <t>Expense</t>
  </si>
  <si>
    <t>Operating Expense</t>
  </si>
  <si>
    <t>Salaries Expense</t>
  </si>
  <si>
    <t>Service Revenue</t>
  </si>
  <si>
    <t>Revenue</t>
  </si>
  <si>
    <t>Operating Revenue</t>
  </si>
  <si>
    <t>Date</t>
  </si>
  <si>
    <t>Description</t>
  </si>
  <si>
    <t>Debit Account</t>
  </si>
  <si>
    <t>Credit Account</t>
  </si>
  <si>
    <t>Amount</t>
  </si>
  <si>
    <t>Balanced?</t>
  </si>
  <si>
    <t>2026-09-01</t>
  </si>
  <si>
    <t>Purchase equipment for cash</t>
  </si>
  <si>
    <t>2026-09-02</t>
  </si>
  <si>
    <t>Provide services and receive cash</t>
  </si>
  <si>
    <t>2026-09-03</t>
  </si>
  <si>
    <t>Pay current month's rent</t>
  </si>
  <si>
    <t>2026-09-04</t>
  </si>
  <si>
    <t>Purchase office supplies on account</t>
  </si>
  <si>
    <t>2026-09-05</t>
  </si>
  <si>
    <t>Pay employee salaries</t>
  </si>
  <si>
    <t>Owner invests opening cash (balancing example)</t>
  </si>
  <si>
    <t>NOTE</t>
  </si>
  <si>
    <t>The £18,300 Owner's Capital entry is included as a balancing example so the financial statements can be complete. Delete it if you want to practise the original five transactions only.</t>
  </si>
  <si>
    <t>Debit</t>
  </si>
  <si>
    <t>Credit</t>
  </si>
  <si>
    <t>Total Debit</t>
  </si>
  <si>
    <t>Total Credit</t>
  </si>
  <si>
    <t>Balance</t>
  </si>
  <si>
    <t>Normal Balance</t>
  </si>
  <si>
    <t>Status</t>
  </si>
  <si>
    <t>T-ACCOUNTS</t>
  </si>
  <si>
    <t>Total</t>
  </si>
  <si>
    <t>TOTAL</t>
  </si>
  <si>
    <t>Difference</t>
  </si>
  <si>
    <t>FINANCIAL STATEMENTS</t>
  </si>
  <si>
    <t>INCOME STATEMENT</t>
  </si>
  <si>
    <t>BALANCE SHEET</t>
  </si>
  <si>
    <t>Assets</t>
  </si>
  <si>
    <t>Total Expenses</t>
  </si>
  <si>
    <t>NET PROFIT / (LOSS)</t>
  </si>
  <si>
    <t>Total Assets</t>
  </si>
  <si>
    <t>Liabilities</t>
  </si>
  <si>
    <t>Total Liabilities</t>
  </si>
  <si>
    <t>Current Profit / (Loss)</t>
  </si>
  <si>
    <t>Total Equity</t>
  </si>
  <si>
    <t>Liabilities + Equity</t>
  </si>
  <si>
    <t>Balance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</si>
</sst>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name val="Calibri"/>
      <family val="2"/>
    </font>
    <font>
      <b/>
      <sz val="11"/>
      <name val="Calibri"/>
      <family val="2"/>
    </font>
    <font>
      <b/>
      <sz val="13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5"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GB"/>
              <a:t>Income Statement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FinancialStatements!$A$4:$A$6</c:f>
              <c:strCache>
                <c:ptCount val="3"/>
                <c:pt idx="0">
                  <c:v>Service Revenue</c:v>
                </c:pt>
                <c:pt idx="1">
                  <c:v>Rent Expense</c:v>
                </c:pt>
                <c:pt idx="2">
                  <c:v>Salaries Expense</c:v>
                </c:pt>
              </c:strCache>
            </c:strRef>
          </c:cat>
          <c:val>
            <c:numRef>
              <c:f>FinancialStatements!$B$4:$B$6</c:f>
              <c:numCache>
                <c:formatCode>#,##0.00</c:formatCode>
                <c:ptCount val="3"/>
                <c:pt idx="0">
                  <c:v>0</c:v>
                </c:pt>
                <c:pt idx="1">
                  <c:v>-2700</c:v>
                </c:pt>
                <c:pt idx="2">
                  <c:v>-3200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12-4B69-9F31-572A19CB1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Item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Amount</a:t>
                </a:r>
              </a:p>
            </c:rich>
          </c:tx>
          <c:overlay val="1"/>
        </c:title>
        <c:numFmt formatCode="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330200</xdr:colOff>
      <xdr:row>6</xdr:row>
      <xdr:rowOff>146050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A" displayName="COA" ref="A1:C9">
  <autoFilter ref="A1:C9" xr:uid="{00000000-0009-0000-0100-000001000000}"/>
  <tableColumns count="3">
    <tableColumn id="1" xr3:uid="{00000000-0010-0000-0000-000001000000}" name="Account"/>
    <tableColumn id="2" xr3:uid="{00000000-0010-0000-0000-000002000000}" name="Type"/>
    <tableColumn id="3" xr3:uid="{00000000-0010-0000-0000-000003000000}" name="Catego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JournalTable" displayName="JournalTable" ref="A1:E201">
  <autoFilter ref="A1:E201" xr:uid="{00000000-0009-0000-0100-000003000000}"/>
  <tableColumns count="5">
    <tableColumn id="1" xr3:uid="{00000000-0010-0000-0200-000001000000}" name="Date"/>
    <tableColumn id="2" xr3:uid="{00000000-0010-0000-0200-000002000000}" name="Description"/>
    <tableColumn id="3" xr3:uid="{00000000-0010-0000-0200-000003000000}" name="Account"/>
    <tableColumn id="4" xr3:uid="{00000000-0010-0000-0200-000004000000}" name="Debit"/>
    <tableColumn id="5" xr3:uid="{00000000-0010-0000-0200-000005000000}" name="Credi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edgerTable" displayName="LedgerTable" ref="A1:F8">
  <autoFilter ref="A1:F8" xr:uid="{00000000-0009-0000-0100-000004000000}"/>
  <tableColumns count="6">
    <tableColumn id="1" xr3:uid="{00000000-0010-0000-0300-000001000000}" name="Account"/>
    <tableColumn id="2" xr3:uid="{00000000-0010-0000-0300-000002000000}" name="Total Debit"/>
    <tableColumn id="3" xr3:uid="{00000000-0010-0000-0300-000003000000}" name="Total Credit"/>
    <tableColumn id="4" xr3:uid="{00000000-0010-0000-0300-000004000000}" name="Balance"/>
    <tableColumn id="5" xr3:uid="{00000000-0010-0000-0300-000005000000}" name="Normal Balance"/>
    <tableColumn id="6" xr3:uid="{00000000-0010-0000-0300-000006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showGridLines="0" workbookViewId="0">
      <pane ySplit="1" topLeftCell="A2" activePane="bottomLeft" state="frozen"/>
      <selection pane="bottomLeft" activeCell="C22" sqref="C22"/>
    </sheetView>
  </sheetViews>
  <sheetFormatPr defaultRowHeight="14.5" x14ac:dyDescent="0.35"/>
  <cols>
    <col min="1" max="1" width="24" customWidth="1"/>
    <col min="2" max="2" width="15" customWidth="1"/>
    <col min="3" max="3" width="24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4</v>
      </c>
      <c r="C3" s="2" t="s">
        <v>7</v>
      </c>
    </row>
    <row r="4" spans="1:3" x14ac:dyDescent="0.35">
      <c r="A4" s="2" t="s">
        <v>8</v>
      </c>
      <c r="B4" s="2" t="s">
        <v>4</v>
      </c>
      <c r="C4" s="2" t="s">
        <v>5</v>
      </c>
    </row>
    <row r="5" spans="1:3" x14ac:dyDescent="0.35">
      <c r="A5" s="2" t="s">
        <v>9</v>
      </c>
      <c r="B5" s="2" t="s">
        <v>10</v>
      </c>
      <c r="C5" s="2" t="s">
        <v>11</v>
      </c>
    </row>
    <row r="6" spans="1:3" x14ac:dyDescent="0.35">
      <c r="A6" s="2" t="s">
        <v>12</v>
      </c>
      <c r="B6" s="2" t="s">
        <v>13</v>
      </c>
      <c r="C6" s="2" t="s">
        <v>14</v>
      </c>
    </row>
    <row r="7" spans="1:3" x14ac:dyDescent="0.35">
      <c r="A7" s="2" t="s">
        <v>15</v>
      </c>
      <c r="B7" s="2" t="s">
        <v>16</v>
      </c>
      <c r="C7" s="2" t="s">
        <v>17</v>
      </c>
    </row>
    <row r="8" spans="1:3" x14ac:dyDescent="0.35">
      <c r="A8" s="2" t="s">
        <v>18</v>
      </c>
      <c r="B8" s="2" t="s">
        <v>16</v>
      </c>
      <c r="C8" s="2" t="s">
        <v>17</v>
      </c>
    </row>
    <row r="9" spans="1:3" x14ac:dyDescent="0.35">
      <c r="A9" s="2" t="s">
        <v>19</v>
      </c>
      <c r="B9" s="2" t="s">
        <v>20</v>
      </c>
      <c r="C9" s="2" t="s">
        <v>21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1"/>
  <sheetViews>
    <sheetView showGridLines="0" workbookViewId="0">
      <pane ySplit="1" topLeftCell="A2" activePane="bottomLeft" state="frozen"/>
      <selection pane="bottomLeft" activeCell="B17" sqref="B17"/>
    </sheetView>
  </sheetViews>
  <sheetFormatPr defaultRowHeight="14.5" x14ac:dyDescent="0.35"/>
  <cols>
    <col min="1" max="1" width="14" customWidth="1"/>
    <col min="2" max="2" width="42" customWidth="1"/>
    <col min="3" max="4" width="24" customWidth="1"/>
    <col min="5" max="5" width="14" customWidth="1"/>
    <col min="6" max="6" width="12" customWidth="1"/>
  </cols>
  <sheetData>
    <row r="1" spans="1:6" x14ac:dyDescent="0.35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</row>
    <row r="2" spans="1:6" x14ac:dyDescent="0.35">
      <c r="A2" s="4" t="s">
        <v>28</v>
      </c>
      <c r="B2" s="4" t="s">
        <v>29</v>
      </c>
      <c r="C2" s="4" t="s">
        <v>6</v>
      </c>
      <c r="D2" s="4" t="s">
        <v>3</v>
      </c>
      <c r="E2" s="5">
        <v>18000</v>
      </c>
      <c r="F2" s="4" t="str">
        <f t="shared" ref="F2:F8" si="0">IF(OR(A2="",C2="",D2="",E2=""),"",IF(OR(C2=D2,E2&lt;=0),"✗","✓"))</f>
        <v>✓</v>
      </c>
    </row>
    <row r="3" spans="1:6" x14ac:dyDescent="0.35">
      <c r="A3" s="4" t="s">
        <v>30</v>
      </c>
      <c r="B3" s="4" t="s">
        <v>31</v>
      </c>
      <c r="C3" s="4" t="s">
        <v>3</v>
      </c>
      <c r="D3" s="4" t="s">
        <v>19</v>
      </c>
      <c r="E3" s="5">
        <v>5600</v>
      </c>
      <c r="F3" s="4" t="str">
        <f t="shared" si="0"/>
        <v>✓</v>
      </c>
    </row>
    <row r="4" spans="1:6" x14ac:dyDescent="0.35">
      <c r="A4" s="4" t="s">
        <v>32</v>
      </c>
      <c r="B4" s="4" t="s">
        <v>33</v>
      </c>
      <c r="C4" s="4" t="s">
        <v>15</v>
      </c>
      <c r="D4" s="4" t="s">
        <v>3</v>
      </c>
      <c r="E4" s="5">
        <v>2700</v>
      </c>
      <c r="F4" s="4" t="str">
        <f t="shared" si="0"/>
        <v>✓</v>
      </c>
    </row>
    <row r="5" spans="1:6" x14ac:dyDescent="0.35">
      <c r="A5" s="4" t="s">
        <v>34</v>
      </c>
      <c r="B5" s="4" t="s">
        <v>35</v>
      </c>
      <c r="C5" s="4" t="s">
        <v>8</v>
      </c>
      <c r="D5" s="4" t="s">
        <v>9</v>
      </c>
      <c r="E5" s="5">
        <v>2200</v>
      </c>
      <c r="F5" s="4" t="str">
        <f t="shared" si="0"/>
        <v>✓</v>
      </c>
    </row>
    <row r="6" spans="1:6" x14ac:dyDescent="0.35">
      <c r="A6" s="4" t="s">
        <v>36</v>
      </c>
      <c r="B6" s="4" t="s">
        <v>37</v>
      </c>
      <c r="C6" s="4" t="s">
        <v>18</v>
      </c>
      <c r="D6" s="4" t="s">
        <v>3</v>
      </c>
      <c r="E6" s="5">
        <v>3200</v>
      </c>
      <c r="F6" s="4" t="str">
        <f t="shared" si="0"/>
        <v>✓</v>
      </c>
    </row>
    <row r="7" spans="1:6" x14ac:dyDescent="0.35">
      <c r="A7" s="4" t="s">
        <v>28</v>
      </c>
      <c r="B7" s="4" t="s">
        <v>38</v>
      </c>
      <c r="C7" s="4" t="s">
        <v>3</v>
      </c>
      <c r="D7" s="4" t="s">
        <v>12</v>
      </c>
      <c r="E7" s="5">
        <v>18300</v>
      </c>
      <c r="F7" s="4" t="str">
        <f t="shared" si="0"/>
        <v>✓</v>
      </c>
    </row>
    <row r="8" spans="1:6" x14ac:dyDescent="0.35">
      <c r="A8" s="4"/>
      <c r="B8" s="4"/>
      <c r="C8" s="4"/>
      <c r="D8" s="4"/>
      <c r="E8" s="5"/>
      <c r="F8" s="4" t="str">
        <f t="shared" si="0"/>
        <v/>
      </c>
    </row>
    <row r="9" spans="1:6" ht="42" customHeight="1" x14ac:dyDescent="0.35">
      <c r="A9" s="4" t="s">
        <v>39</v>
      </c>
      <c r="B9" s="10" t="s">
        <v>40</v>
      </c>
      <c r="C9" s="11"/>
      <c r="D9" s="11"/>
      <c r="E9" s="11"/>
      <c r="F9" s="11"/>
    </row>
    <row r="10" spans="1:6" x14ac:dyDescent="0.35">
      <c r="A10" s="4"/>
      <c r="B10" s="11"/>
      <c r="C10" s="11"/>
      <c r="D10" s="11"/>
      <c r="E10" s="11"/>
      <c r="F10" s="11"/>
    </row>
    <row r="11" spans="1:6" x14ac:dyDescent="0.35">
      <c r="A11" s="4"/>
      <c r="B11" s="4"/>
      <c r="C11" s="4"/>
      <c r="D11" s="4"/>
      <c r="E11" s="5"/>
      <c r="F11" s="4" t="str">
        <f t="shared" ref="F11:F42" si="1">IF(OR(A11="",C11="",D11="",E11=""),"",IF(OR(C11=D11,E11&lt;=0),"✗","✓"))</f>
        <v/>
      </c>
    </row>
    <row r="12" spans="1:6" x14ac:dyDescent="0.35">
      <c r="A12" s="4"/>
      <c r="B12" s="4"/>
      <c r="C12" s="4"/>
      <c r="D12" s="4"/>
      <c r="E12" s="5"/>
      <c r="F12" s="4" t="str">
        <f t="shared" si="1"/>
        <v/>
      </c>
    </row>
    <row r="13" spans="1:6" x14ac:dyDescent="0.35">
      <c r="A13" s="4"/>
      <c r="B13" s="4"/>
      <c r="C13" s="4"/>
      <c r="D13" s="4"/>
      <c r="E13" s="5"/>
      <c r="F13" s="4" t="str">
        <f t="shared" si="1"/>
        <v/>
      </c>
    </row>
    <row r="14" spans="1:6" x14ac:dyDescent="0.35">
      <c r="A14" s="4"/>
      <c r="B14" s="4"/>
      <c r="C14" s="4"/>
      <c r="D14" s="4"/>
      <c r="E14" s="5"/>
      <c r="F14" s="4" t="str">
        <f t="shared" si="1"/>
        <v/>
      </c>
    </row>
    <row r="15" spans="1:6" x14ac:dyDescent="0.35">
      <c r="A15" s="4"/>
      <c r="B15" s="4"/>
      <c r="C15" s="4"/>
      <c r="D15" s="4"/>
      <c r="E15" s="5"/>
      <c r="F15" s="4" t="str">
        <f t="shared" si="1"/>
        <v/>
      </c>
    </row>
    <row r="16" spans="1:6" x14ac:dyDescent="0.35">
      <c r="A16" s="4"/>
      <c r="B16" s="4"/>
      <c r="C16" s="4"/>
      <c r="D16" s="4"/>
      <c r="E16" s="5"/>
      <c r="F16" s="4" t="str">
        <f t="shared" si="1"/>
        <v/>
      </c>
    </row>
    <row r="17" spans="1:6" x14ac:dyDescent="0.35">
      <c r="A17" s="4"/>
      <c r="B17" s="4"/>
      <c r="C17" s="4"/>
      <c r="D17" s="4"/>
      <c r="E17" s="5"/>
      <c r="F17" s="4" t="str">
        <f t="shared" si="1"/>
        <v/>
      </c>
    </row>
    <row r="18" spans="1:6" x14ac:dyDescent="0.35">
      <c r="A18" s="4"/>
      <c r="B18" s="4"/>
      <c r="C18" s="4"/>
      <c r="D18" s="4"/>
      <c r="E18" s="5"/>
      <c r="F18" s="4" t="str">
        <f t="shared" si="1"/>
        <v/>
      </c>
    </row>
    <row r="19" spans="1:6" x14ac:dyDescent="0.35">
      <c r="A19" s="4"/>
      <c r="B19" s="4"/>
      <c r="C19" s="4"/>
      <c r="D19" s="4"/>
      <c r="E19" s="5"/>
      <c r="F19" s="4" t="str">
        <f t="shared" si="1"/>
        <v/>
      </c>
    </row>
    <row r="20" spans="1:6" x14ac:dyDescent="0.35">
      <c r="A20" s="4"/>
      <c r="B20" s="4"/>
      <c r="C20" s="4"/>
      <c r="D20" s="4"/>
      <c r="E20" s="5"/>
      <c r="F20" s="4" t="str">
        <f t="shared" si="1"/>
        <v/>
      </c>
    </row>
    <row r="21" spans="1:6" x14ac:dyDescent="0.35">
      <c r="A21" s="4"/>
      <c r="B21" s="4"/>
      <c r="C21" s="4"/>
      <c r="D21" s="4"/>
      <c r="E21" s="5"/>
      <c r="F21" s="4" t="str">
        <f t="shared" si="1"/>
        <v/>
      </c>
    </row>
    <row r="22" spans="1:6" x14ac:dyDescent="0.35">
      <c r="A22" s="4"/>
      <c r="B22" s="4"/>
      <c r="C22" s="4"/>
      <c r="D22" s="4"/>
      <c r="E22" s="5"/>
      <c r="F22" s="4" t="str">
        <f t="shared" si="1"/>
        <v/>
      </c>
    </row>
    <row r="23" spans="1:6" x14ac:dyDescent="0.35">
      <c r="A23" s="4"/>
      <c r="B23" s="4"/>
      <c r="C23" s="4"/>
      <c r="D23" s="4"/>
      <c r="E23" s="5"/>
      <c r="F23" s="4" t="str">
        <f t="shared" si="1"/>
        <v/>
      </c>
    </row>
    <row r="24" spans="1:6" x14ac:dyDescent="0.35">
      <c r="A24" s="4"/>
      <c r="B24" s="4"/>
      <c r="C24" s="4"/>
      <c r="D24" s="4"/>
      <c r="E24" s="5"/>
      <c r="F24" s="4" t="str">
        <f t="shared" si="1"/>
        <v/>
      </c>
    </row>
    <row r="25" spans="1:6" x14ac:dyDescent="0.35">
      <c r="A25" s="4"/>
      <c r="B25" s="4"/>
      <c r="C25" s="4"/>
      <c r="D25" s="4"/>
      <c r="E25" s="5"/>
      <c r="F25" s="4" t="str">
        <f t="shared" si="1"/>
        <v/>
      </c>
    </row>
    <row r="26" spans="1:6" x14ac:dyDescent="0.35">
      <c r="A26" s="4"/>
      <c r="B26" s="4"/>
      <c r="C26" s="4"/>
      <c r="D26" s="4"/>
      <c r="E26" s="5"/>
      <c r="F26" s="4" t="str">
        <f t="shared" si="1"/>
        <v/>
      </c>
    </row>
    <row r="27" spans="1:6" x14ac:dyDescent="0.35">
      <c r="A27" s="4"/>
      <c r="B27" s="4"/>
      <c r="C27" s="4"/>
      <c r="D27" s="4"/>
      <c r="E27" s="5"/>
      <c r="F27" s="4" t="str">
        <f t="shared" si="1"/>
        <v/>
      </c>
    </row>
    <row r="28" spans="1:6" x14ac:dyDescent="0.35">
      <c r="A28" s="4"/>
      <c r="B28" s="4"/>
      <c r="C28" s="4"/>
      <c r="D28" s="4"/>
      <c r="E28" s="5"/>
      <c r="F28" s="4" t="str">
        <f t="shared" si="1"/>
        <v/>
      </c>
    </row>
    <row r="29" spans="1:6" x14ac:dyDescent="0.35">
      <c r="A29" s="4"/>
      <c r="B29" s="4"/>
      <c r="C29" s="4"/>
      <c r="D29" s="4"/>
      <c r="E29" s="5"/>
      <c r="F29" s="4" t="str">
        <f t="shared" si="1"/>
        <v/>
      </c>
    </row>
    <row r="30" spans="1:6" x14ac:dyDescent="0.35">
      <c r="A30" s="4"/>
      <c r="B30" s="4"/>
      <c r="C30" s="4"/>
      <c r="D30" s="4"/>
      <c r="E30" s="5"/>
      <c r="F30" s="4" t="str">
        <f t="shared" si="1"/>
        <v/>
      </c>
    </row>
    <row r="31" spans="1:6" x14ac:dyDescent="0.35">
      <c r="A31" s="4"/>
      <c r="B31" s="4"/>
      <c r="C31" s="4"/>
      <c r="D31" s="4"/>
      <c r="E31" s="5"/>
      <c r="F31" s="4" t="str">
        <f t="shared" si="1"/>
        <v/>
      </c>
    </row>
    <row r="32" spans="1:6" x14ac:dyDescent="0.35">
      <c r="A32" s="4"/>
      <c r="B32" s="4"/>
      <c r="C32" s="4"/>
      <c r="D32" s="4"/>
      <c r="E32" s="5"/>
      <c r="F32" s="4" t="str">
        <f t="shared" si="1"/>
        <v/>
      </c>
    </row>
    <row r="33" spans="1:6" x14ac:dyDescent="0.35">
      <c r="A33" s="4"/>
      <c r="B33" s="4"/>
      <c r="C33" s="4"/>
      <c r="D33" s="4"/>
      <c r="E33" s="5"/>
      <c r="F33" s="4" t="str">
        <f t="shared" si="1"/>
        <v/>
      </c>
    </row>
    <row r="34" spans="1:6" x14ac:dyDescent="0.35">
      <c r="A34" s="4"/>
      <c r="B34" s="4"/>
      <c r="C34" s="4"/>
      <c r="D34" s="4"/>
      <c r="E34" s="5"/>
      <c r="F34" s="4" t="str">
        <f t="shared" si="1"/>
        <v/>
      </c>
    </row>
    <row r="35" spans="1:6" x14ac:dyDescent="0.35">
      <c r="A35" s="4"/>
      <c r="B35" s="4"/>
      <c r="C35" s="4"/>
      <c r="D35" s="4"/>
      <c r="E35" s="5"/>
      <c r="F35" s="4" t="str">
        <f t="shared" si="1"/>
        <v/>
      </c>
    </row>
    <row r="36" spans="1:6" x14ac:dyDescent="0.35">
      <c r="A36" s="4"/>
      <c r="B36" s="4"/>
      <c r="C36" s="4"/>
      <c r="D36" s="4"/>
      <c r="E36" s="5"/>
      <c r="F36" s="4" t="str">
        <f t="shared" si="1"/>
        <v/>
      </c>
    </row>
    <row r="37" spans="1:6" x14ac:dyDescent="0.35">
      <c r="A37" s="4"/>
      <c r="B37" s="4"/>
      <c r="C37" s="4"/>
      <c r="D37" s="4"/>
      <c r="E37" s="5"/>
      <c r="F37" s="4" t="str">
        <f t="shared" si="1"/>
        <v/>
      </c>
    </row>
    <row r="38" spans="1:6" x14ac:dyDescent="0.35">
      <c r="A38" s="4"/>
      <c r="B38" s="4"/>
      <c r="C38" s="4"/>
      <c r="D38" s="4"/>
      <c r="E38" s="5"/>
      <c r="F38" s="4" t="str">
        <f t="shared" si="1"/>
        <v/>
      </c>
    </row>
    <row r="39" spans="1:6" x14ac:dyDescent="0.35">
      <c r="A39" s="4"/>
      <c r="B39" s="4"/>
      <c r="C39" s="4"/>
      <c r="D39" s="4"/>
      <c r="E39" s="5"/>
      <c r="F39" s="4" t="str">
        <f t="shared" si="1"/>
        <v/>
      </c>
    </row>
    <row r="40" spans="1:6" x14ac:dyDescent="0.35">
      <c r="A40" s="4"/>
      <c r="B40" s="4"/>
      <c r="C40" s="4"/>
      <c r="D40" s="4"/>
      <c r="E40" s="5"/>
      <c r="F40" s="4" t="str">
        <f t="shared" si="1"/>
        <v/>
      </c>
    </row>
    <row r="41" spans="1:6" x14ac:dyDescent="0.35">
      <c r="A41" s="4"/>
      <c r="B41" s="4"/>
      <c r="C41" s="4"/>
      <c r="D41" s="4"/>
      <c r="E41" s="5"/>
      <c r="F41" s="4" t="str">
        <f t="shared" si="1"/>
        <v/>
      </c>
    </row>
    <row r="42" spans="1:6" x14ac:dyDescent="0.35">
      <c r="A42" s="4"/>
      <c r="B42" s="4"/>
      <c r="C42" s="4"/>
      <c r="D42" s="4"/>
      <c r="E42" s="5"/>
      <c r="F42" s="4" t="str">
        <f t="shared" si="1"/>
        <v/>
      </c>
    </row>
    <row r="43" spans="1:6" x14ac:dyDescent="0.35">
      <c r="A43" s="4"/>
      <c r="B43" s="4"/>
      <c r="C43" s="4"/>
      <c r="D43" s="4"/>
      <c r="E43" s="5"/>
      <c r="F43" s="4" t="str">
        <f t="shared" ref="F43:F74" si="2">IF(OR(A43="",C43="",D43="",E43=""),"",IF(OR(C43=D43,E43&lt;=0),"✗","✓"))</f>
        <v/>
      </c>
    </row>
    <row r="44" spans="1:6" x14ac:dyDescent="0.35">
      <c r="A44" s="4"/>
      <c r="B44" s="4"/>
      <c r="C44" s="4"/>
      <c r="D44" s="4"/>
      <c r="E44" s="5"/>
      <c r="F44" s="4" t="str">
        <f t="shared" si="2"/>
        <v/>
      </c>
    </row>
    <row r="45" spans="1:6" x14ac:dyDescent="0.35">
      <c r="A45" s="4"/>
      <c r="B45" s="4"/>
      <c r="C45" s="4"/>
      <c r="D45" s="4"/>
      <c r="E45" s="5"/>
      <c r="F45" s="4" t="str">
        <f t="shared" si="2"/>
        <v/>
      </c>
    </row>
    <row r="46" spans="1:6" x14ac:dyDescent="0.35">
      <c r="A46" s="4"/>
      <c r="B46" s="4"/>
      <c r="C46" s="4"/>
      <c r="D46" s="4"/>
      <c r="E46" s="5"/>
      <c r="F46" s="4" t="str">
        <f t="shared" si="2"/>
        <v/>
      </c>
    </row>
    <row r="47" spans="1:6" x14ac:dyDescent="0.35">
      <c r="A47" s="4"/>
      <c r="B47" s="4"/>
      <c r="C47" s="4"/>
      <c r="D47" s="4"/>
      <c r="E47" s="5"/>
      <c r="F47" s="4" t="str">
        <f t="shared" si="2"/>
        <v/>
      </c>
    </row>
    <row r="48" spans="1:6" x14ac:dyDescent="0.35">
      <c r="A48" s="4"/>
      <c r="B48" s="4"/>
      <c r="C48" s="4"/>
      <c r="D48" s="4"/>
      <c r="E48" s="5"/>
      <c r="F48" s="4" t="str">
        <f t="shared" si="2"/>
        <v/>
      </c>
    </row>
    <row r="49" spans="1:6" x14ac:dyDescent="0.35">
      <c r="A49" s="4"/>
      <c r="B49" s="4"/>
      <c r="C49" s="4"/>
      <c r="D49" s="4"/>
      <c r="E49" s="5"/>
      <c r="F49" s="4" t="str">
        <f t="shared" si="2"/>
        <v/>
      </c>
    </row>
    <row r="50" spans="1:6" x14ac:dyDescent="0.35">
      <c r="A50" s="4"/>
      <c r="B50" s="4"/>
      <c r="C50" s="4"/>
      <c r="D50" s="4"/>
      <c r="E50" s="5"/>
      <c r="F50" s="4" t="str">
        <f t="shared" si="2"/>
        <v/>
      </c>
    </row>
    <row r="51" spans="1:6" x14ac:dyDescent="0.35">
      <c r="A51" s="4"/>
      <c r="B51" s="4"/>
      <c r="C51" s="4"/>
      <c r="D51" s="4"/>
      <c r="E51" s="5"/>
      <c r="F51" s="4" t="str">
        <f t="shared" si="2"/>
        <v/>
      </c>
    </row>
    <row r="52" spans="1:6" x14ac:dyDescent="0.35">
      <c r="A52" s="4"/>
      <c r="B52" s="4"/>
      <c r="C52" s="4"/>
      <c r="D52" s="4"/>
      <c r="E52" s="5"/>
      <c r="F52" s="4" t="str">
        <f t="shared" si="2"/>
        <v/>
      </c>
    </row>
    <row r="53" spans="1:6" x14ac:dyDescent="0.35">
      <c r="A53" s="4"/>
      <c r="B53" s="4"/>
      <c r="C53" s="4"/>
      <c r="D53" s="4"/>
      <c r="E53" s="5"/>
      <c r="F53" s="4" t="str">
        <f t="shared" si="2"/>
        <v/>
      </c>
    </row>
    <row r="54" spans="1:6" x14ac:dyDescent="0.35">
      <c r="A54" s="4"/>
      <c r="B54" s="4"/>
      <c r="C54" s="4"/>
      <c r="D54" s="4"/>
      <c r="E54" s="5"/>
      <c r="F54" s="4" t="str">
        <f t="shared" si="2"/>
        <v/>
      </c>
    </row>
    <row r="55" spans="1:6" x14ac:dyDescent="0.35">
      <c r="A55" s="4"/>
      <c r="B55" s="4"/>
      <c r="C55" s="4"/>
      <c r="D55" s="4"/>
      <c r="E55" s="5"/>
      <c r="F55" s="4" t="str">
        <f t="shared" si="2"/>
        <v/>
      </c>
    </row>
    <row r="56" spans="1:6" x14ac:dyDescent="0.35">
      <c r="A56" s="4"/>
      <c r="B56" s="4"/>
      <c r="C56" s="4"/>
      <c r="D56" s="4"/>
      <c r="E56" s="5"/>
      <c r="F56" s="4" t="str">
        <f t="shared" si="2"/>
        <v/>
      </c>
    </row>
    <row r="57" spans="1:6" x14ac:dyDescent="0.35">
      <c r="A57" s="4"/>
      <c r="B57" s="4"/>
      <c r="C57" s="4"/>
      <c r="D57" s="4"/>
      <c r="E57" s="5"/>
      <c r="F57" s="4" t="str">
        <f t="shared" si="2"/>
        <v/>
      </c>
    </row>
    <row r="58" spans="1:6" x14ac:dyDescent="0.35">
      <c r="A58" s="4"/>
      <c r="B58" s="4"/>
      <c r="C58" s="4"/>
      <c r="D58" s="4"/>
      <c r="E58" s="5"/>
      <c r="F58" s="4" t="str">
        <f t="shared" si="2"/>
        <v/>
      </c>
    </row>
    <row r="59" spans="1:6" x14ac:dyDescent="0.35">
      <c r="A59" s="4"/>
      <c r="B59" s="4"/>
      <c r="C59" s="4"/>
      <c r="D59" s="4"/>
      <c r="E59" s="5"/>
      <c r="F59" s="4" t="str">
        <f t="shared" si="2"/>
        <v/>
      </c>
    </row>
    <row r="60" spans="1:6" x14ac:dyDescent="0.35">
      <c r="A60" s="4"/>
      <c r="B60" s="4"/>
      <c r="C60" s="4"/>
      <c r="D60" s="4"/>
      <c r="E60" s="5"/>
      <c r="F60" s="4" t="str">
        <f t="shared" si="2"/>
        <v/>
      </c>
    </row>
    <row r="61" spans="1:6" x14ac:dyDescent="0.35">
      <c r="A61" s="4"/>
      <c r="B61" s="4"/>
      <c r="C61" s="4"/>
      <c r="D61" s="4"/>
      <c r="E61" s="5"/>
      <c r="F61" s="4" t="str">
        <f t="shared" si="2"/>
        <v/>
      </c>
    </row>
    <row r="62" spans="1:6" x14ac:dyDescent="0.35">
      <c r="A62" s="4"/>
      <c r="B62" s="4"/>
      <c r="C62" s="4"/>
      <c r="D62" s="4"/>
      <c r="E62" s="5"/>
      <c r="F62" s="4" t="str">
        <f t="shared" si="2"/>
        <v/>
      </c>
    </row>
    <row r="63" spans="1:6" x14ac:dyDescent="0.35">
      <c r="A63" s="4"/>
      <c r="B63" s="4"/>
      <c r="C63" s="4"/>
      <c r="D63" s="4"/>
      <c r="E63" s="5"/>
      <c r="F63" s="4" t="str">
        <f t="shared" si="2"/>
        <v/>
      </c>
    </row>
    <row r="64" spans="1:6" x14ac:dyDescent="0.35">
      <c r="A64" s="4"/>
      <c r="B64" s="4"/>
      <c r="C64" s="4"/>
      <c r="D64" s="4"/>
      <c r="E64" s="5"/>
      <c r="F64" s="4" t="str">
        <f t="shared" si="2"/>
        <v/>
      </c>
    </row>
    <row r="65" spans="1:6" x14ac:dyDescent="0.35">
      <c r="A65" s="4"/>
      <c r="B65" s="4"/>
      <c r="C65" s="4"/>
      <c r="D65" s="4"/>
      <c r="E65" s="5"/>
      <c r="F65" s="4" t="str">
        <f t="shared" si="2"/>
        <v/>
      </c>
    </row>
    <row r="66" spans="1:6" x14ac:dyDescent="0.35">
      <c r="A66" s="4"/>
      <c r="B66" s="4"/>
      <c r="C66" s="4"/>
      <c r="D66" s="4"/>
      <c r="E66" s="5"/>
      <c r="F66" s="4" t="str">
        <f t="shared" si="2"/>
        <v/>
      </c>
    </row>
    <row r="67" spans="1:6" x14ac:dyDescent="0.35">
      <c r="A67" s="4"/>
      <c r="B67" s="4"/>
      <c r="C67" s="4"/>
      <c r="D67" s="4"/>
      <c r="E67" s="5"/>
      <c r="F67" s="4" t="str">
        <f t="shared" si="2"/>
        <v/>
      </c>
    </row>
    <row r="68" spans="1:6" x14ac:dyDescent="0.35">
      <c r="A68" s="4"/>
      <c r="B68" s="4"/>
      <c r="C68" s="4"/>
      <c r="D68" s="4"/>
      <c r="E68" s="5"/>
      <c r="F68" s="4" t="str">
        <f t="shared" si="2"/>
        <v/>
      </c>
    </row>
    <row r="69" spans="1:6" x14ac:dyDescent="0.35">
      <c r="A69" s="4"/>
      <c r="B69" s="4"/>
      <c r="C69" s="4"/>
      <c r="D69" s="4"/>
      <c r="E69" s="5"/>
      <c r="F69" s="4" t="str">
        <f t="shared" si="2"/>
        <v/>
      </c>
    </row>
    <row r="70" spans="1:6" x14ac:dyDescent="0.35">
      <c r="A70" s="4"/>
      <c r="B70" s="4"/>
      <c r="C70" s="4"/>
      <c r="D70" s="4"/>
      <c r="E70" s="5"/>
      <c r="F70" s="4" t="str">
        <f t="shared" si="2"/>
        <v/>
      </c>
    </row>
    <row r="71" spans="1:6" x14ac:dyDescent="0.35">
      <c r="A71" s="4"/>
      <c r="B71" s="4"/>
      <c r="C71" s="4"/>
      <c r="D71" s="4"/>
      <c r="E71" s="5"/>
      <c r="F71" s="4" t="str">
        <f t="shared" si="2"/>
        <v/>
      </c>
    </row>
    <row r="72" spans="1:6" x14ac:dyDescent="0.35">
      <c r="A72" s="4"/>
      <c r="B72" s="4"/>
      <c r="C72" s="4"/>
      <c r="D72" s="4"/>
      <c r="E72" s="5"/>
      <c r="F72" s="4" t="str">
        <f t="shared" si="2"/>
        <v/>
      </c>
    </row>
    <row r="73" spans="1:6" x14ac:dyDescent="0.35">
      <c r="A73" s="4"/>
      <c r="B73" s="4"/>
      <c r="C73" s="4"/>
      <c r="D73" s="4"/>
      <c r="E73" s="5"/>
      <c r="F73" s="4" t="str">
        <f t="shared" si="2"/>
        <v/>
      </c>
    </row>
    <row r="74" spans="1:6" x14ac:dyDescent="0.35">
      <c r="A74" s="4"/>
      <c r="B74" s="4"/>
      <c r="C74" s="4"/>
      <c r="D74" s="4"/>
      <c r="E74" s="5"/>
      <c r="F74" s="4" t="str">
        <f t="shared" si="2"/>
        <v/>
      </c>
    </row>
    <row r="75" spans="1:6" x14ac:dyDescent="0.35">
      <c r="A75" s="4"/>
      <c r="B75" s="4"/>
      <c r="C75" s="4"/>
      <c r="D75" s="4"/>
      <c r="E75" s="5"/>
      <c r="F75" s="4" t="str">
        <f t="shared" ref="F75:F106" si="3">IF(OR(A75="",C75="",D75="",E75=""),"",IF(OR(C75=D75,E75&lt;=0),"✗","✓"))</f>
        <v/>
      </c>
    </row>
    <row r="76" spans="1:6" x14ac:dyDescent="0.35">
      <c r="A76" s="4"/>
      <c r="B76" s="4"/>
      <c r="C76" s="4"/>
      <c r="D76" s="4"/>
      <c r="E76" s="5"/>
      <c r="F76" s="4" t="str">
        <f t="shared" si="3"/>
        <v/>
      </c>
    </row>
    <row r="77" spans="1:6" x14ac:dyDescent="0.35">
      <c r="A77" s="4"/>
      <c r="B77" s="4"/>
      <c r="C77" s="4"/>
      <c r="D77" s="4"/>
      <c r="E77" s="5"/>
      <c r="F77" s="4" t="str">
        <f t="shared" si="3"/>
        <v/>
      </c>
    </row>
    <row r="78" spans="1:6" x14ac:dyDescent="0.35">
      <c r="A78" s="4"/>
      <c r="B78" s="4"/>
      <c r="C78" s="4"/>
      <c r="D78" s="4"/>
      <c r="E78" s="5"/>
      <c r="F78" s="4" t="str">
        <f t="shared" si="3"/>
        <v/>
      </c>
    </row>
    <row r="79" spans="1:6" x14ac:dyDescent="0.35">
      <c r="A79" s="4"/>
      <c r="B79" s="4"/>
      <c r="C79" s="4"/>
      <c r="D79" s="4"/>
      <c r="E79" s="5"/>
      <c r="F79" s="4" t="str">
        <f t="shared" si="3"/>
        <v/>
      </c>
    </row>
    <row r="80" spans="1:6" x14ac:dyDescent="0.35">
      <c r="A80" s="4"/>
      <c r="B80" s="4"/>
      <c r="C80" s="4"/>
      <c r="D80" s="4"/>
      <c r="E80" s="5"/>
      <c r="F80" s="4" t="str">
        <f t="shared" si="3"/>
        <v/>
      </c>
    </row>
    <row r="81" spans="1:6" x14ac:dyDescent="0.35">
      <c r="A81" s="4"/>
      <c r="B81" s="4"/>
      <c r="C81" s="4"/>
      <c r="D81" s="4"/>
      <c r="E81" s="5"/>
      <c r="F81" s="4" t="str">
        <f t="shared" si="3"/>
        <v/>
      </c>
    </row>
    <row r="82" spans="1:6" x14ac:dyDescent="0.35">
      <c r="A82" s="4"/>
      <c r="B82" s="4"/>
      <c r="C82" s="4"/>
      <c r="D82" s="4"/>
      <c r="E82" s="5"/>
      <c r="F82" s="4" t="str">
        <f t="shared" si="3"/>
        <v/>
      </c>
    </row>
    <row r="83" spans="1:6" x14ac:dyDescent="0.35">
      <c r="A83" s="4"/>
      <c r="B83" s="4"/>
      <c r="C83" s="4"/>
      <c r="D83" s="4"/>
      <c r="E83" s="5"/>
      <c r="F83" s="4" t="str">
        <f t="shared" si="3"/>
        <v/>
      </c>
    </row>
    <row r="84" spans="1:6" x14ac:dyDescent="0.35">
      <c r="A84" s="4"/>
      <c r="B84" s="4"/>
      <c r="C84" s="4"/>
      <c r="D84" s="4"/>
      <c r="E84" s="5"/>
      <c r="F84" s="4" t="str">
        <f t="shared" si="3"/>
        <v/>
      </c>
    </row>
    <row r="85" spans="1:6" x14ac:dyDescent="0.35">
      <c r="A85" s="4"/>
      <c r="B85" s="4"/>
      <c r="C85" s="4"/>
      <c r="D85" s="4"/>
      <c r="E85" s="5"/>
      <c r="F85" s="4" t="str">
        <f t="shared" si="3"/>
        <v/>
      </c>
    </row>
    <row r="86" spans="1:6" x14ac:dyDescent="0.35">
      <c r="A86" s="4"/>
      <c r="B86" s="4"/>
      <c r="C86" s="4"/>
      <c r="D86" s="4"/>
      <c r="E86" s="5"/>
      <c r="F86" s="4" t="str">
        <f t="shared" si="3"/>
        <v/>
      </c>
    </row>
    <row r="87" spans="1:6" x14ac:dyDescent="0.35">
      <c r="A87" s="4"/>
      <c r="B87" s="4"/>
      <c r="C87" s="4"/>
      <c r="D87" s="4"/>
      <c r="E87" s="5"/>
      <c r="F87" s="4" t="str">
        <f t="shared" si="3"/>
        <v/>
      </c>
    </row>
    <row r="88" spans="1:6" x14ac:dyDescent="0.35">
      <c r="A88" s="4"/>
      <c r="B88" s="4"/>
      <c r="C88" s="4"/>
      <c r="D88" s="4"/>
      <c r="E88" s="5"/>
      <c r="F88" s="4" t="str">
        <f t="shared" si="3"/>
        <v/>
      </c>
    </row>
    <row r="89" spans="1:6" x14ac:dyDescent="0.35">
      <c r="A89" s="4"/>
      <c r="B89" s="4"/>
      <c r="C89" s="4"/>
      <c r="D89" s="4"/>
      <c r="E89" s="5"/>
      <c r="F89" s="4" t="str">
        <f t="shared" si="3"/>
        <v/>
      </c>
    </row>
    <row r="90" spans="1:6" x14ac:dyDescent="0.35">
      <c r="A90" s="4"/>
      <c r="B90" s="4"/>
      <c r="C90" s="4"/>
      <c r="D90" s="4"/>
      <c r="E90" s="5"/>
      <c r="F90" s="4" t="str">
        <f t="shared" si="3"/>
        <v/>
      </c>
    </row>
    <row r="91" spans="1:6" x14ac:dyDescent="0.35">
      <c r="A91" s="4"/>
      <c r="B91" s="4"/>
      <c r="C91" s="4"/>
      <c r="D91" s="4"/>
      <c r="E91" s="5"/>
      <c r="F91" s="4" t="str">
        <f t="shared" si="3"/>
        <v/>
      </c>
    </row>
    <row r="92" spans="1:6" x14ac:dyDescent="0.35">
      <c r="A92" s="4"/>
      <c r="B92" s="4"/>
      <c r="C92" s="4"/>
      <c r="D92" s="4"/>
      <c r="E92" s="5"/>
      <c r="F92" s="4" t="str">
        <f t="shared" si="3"/>
        <v/>
      </c>
    </row>
    <row r="93" spans="1:6" x14ac:dyDescent="0.35">
      <c r="A93" s="4"/>
      <c r="B93" s="4"/>
      <c r="C93" s="4"/>
      <c r="D93" s="4"/>
      <c r="E93" s="5"/>
      <c r="F93" s="4" t="str">
        <f t="shared" si="3"/>
        <v/>
      </c>
    </row>
    <row r="94" spans="1:6" x14ac:dyDescent="0.35">
      <c r="A94" s="4"/>
      <c r="B94" s="4"/>
      <c r="C94" s="4"/>
      <c r="D94" s="4"/>
      <c r="E94" s="5"/>
      <c r="F94" s="4" t="str">
        <f t="shared" si="3"/>
        <v/>
      </c>
    </row>
    <row r="95" spans="1:6" x14ac:dyDescent="0.35">
      <c r="A95" s="4"/>
      <c r="B95" s="4"/>
      <c r="C95" s="4"/>
      <c r="D95" s="4"/>
      <c r="E95" s="5"/>
      <c r="F95" s="4" t="str">
        <f t="shared" si="3"/>
        <v/>
      </c>
    </row>
    <row r="96" spans="1:6" x14ac:dyDescent="0.35">
      <c r="A96" s="4"/>
      <c r="B96" s="4"/>
      <c r="C96" s="4"/>
      <c r="D96" s="4"/>
      <c r="E96" s="5"/>
      <c r="F96" s="4" t="str">
        <f t="shared" si="3"/>
        <v/>
      </c>
    </row>
    <row r="97" spans="1:6" x14ac:dyDescent="0.35">
      <c r="A97" s="4"/>
      <c r="B97" s="4"/>
      <c r="C97" s="4"/>
      <c r="D97" s="4"/>
      <c r="E97" s="5"/>
      <c r="F97" s="4" t="str">
        <f t="shared" si="3"/>
        <v/>
      </c>
    </row>
    <row r="98" spans="1:6" x14ac:dyDescent="0.35">
      <c r="A98" s="4"/>
      <c r="B98" s="4"/>
      <c r="C98" s="4"/>
      <c r="D98" s="4"/>
      <c r="E98" s="5"/>
      <c r="F98" s="4" t="str">
        <f t="shared" si="3"/>
        <v/>
      </c>
    </row>
    <row r="99" spans="1:6" x14ac:dyDescent="0.35">
      <c r="A99" s="4"/>
      <c r="B99" s="4"/>
      <c r="C99" s="4"/>
      <c r="D99" s="4"/>
      <c r="E99" s="5"/>
      <c r="F99" s="4" t="str">
        <f t="shared" si="3"/>
        <v/>
      </c>
    </row>
    <row r="100" spans="1:6" x14ac:dyDescent="0.35">
      <c r="A100" s="4"/>
      <c r="B100" s="4"/>
      <c r="C100" s="4"/>
      <c r="D100" s="4"/>
      <c r="E100" s="5"/>
      <c r="F100" s="4" t="str">
        <f t="shared" si="3"/>
        <v/>
      </c>
    </row>
    <row r="101" spans="1:6" x14ac:dyDescent="0.35">
      <c r="A101" s="4"/>
      <c r="B101" s="4"/>
      <c r="C101" s="4"/>
      <c r="D101" s="4"/>
      <c r="E101" s="5"/>
      <c r="F101" s="4" t="str">
        <f t="shared" si="3"/>
        <v/>
      </c>
    </row>
  </sheetData>
  <mergeCells count="1">
    <mergeCell ref="B9:F10"/>
  </mergeCells>
  <conditionalFormatting sqref="A2:F101">
    <cfRule type="expression" dxfId="4" priority="1">
      <formula>$F2="✗"</formula>
    </cfRule>
  </conditionalFormatting>
  <conditionalFormatting sqref="F2:F101">
    <cfRule type="expression" dxfId="3" priority="2">
      <formula>$F2="✓"</formula>
    </cfRule>
  </conditionalFormatting>
  <dataValidations count="1">
    <dataValidation type="list" allowBlank="1" sqref="C2:C101 D2:D101" xr:uid="{00000000-0002-0000-0100-000000000000}">
      <formula1>AccountList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1"/>
  <sheetViews>
    <sheetView showGridLines="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42" customWidth="1"/>
    <col min="3" max="3" width="24" customWidth="1"/>
    <col min="4" max="5" width="14" customWidth="1"/>
  </cols>
  <sheetData>
    <row r="1" spans="1:5" x14ac:dyDescent="0.35">
      <c r="A1" s="3" t="s">
        <v>22</v>
      </c>
      <c r="B1" s="3" t="s">
        <v>23</v>
      </c>
      <c r="C1" s="3" t="s">
        <v>0</v>
      </c>
      <c r="D1" s="3" t="s">
        <v>41</v>
      </c>
      <c r="E1" s="3" t="s">
        <v>42</v>
      </c>
    </row>
    <row r="2" spans="1:5" x14ac:dyDescent="0.35">
      <c r="A2" s="4" t="str">
        <f>IF(NewTransaction!A2="","",NewTransaction!A2)</f>
        <v>2026-09-01</v>
      </c>
      <c r="B2" s="4" t="str">
        <f>IF(NewTransaction!A2="","",NewTransaction!B2)</f>
        <v>Purchase equipment for cash</v>
      </c>
      <c r="C2" s="4" t="str">
        <f>IF(NewTransaction!A2="","",NewTransaction!C2)</f>
        <v>Equipment</v>
      </c>
      <c r="D2" s="5">
        <f>IF(NewTransaction!A2="","",NewTransaction!E2)</f>
        <v>18000</v>
      </c>
      <c r="E2" s="5">
        <f>IF(A2="","",0)</f>
        <v>0</v>
      </c>
    </row>
    <row r="3" spans="1:5" x14ac:dyDescent="0.35">
      <c r="A3" s="4" t="str">
        <f>IF(NewTransaction!A2="","",NewTransaction!A2)</f>
        <v>2026-09-01</v>
      </c>
      <c r="B3" s="4" t="str">
        <f>IF(NewTransaction!A2="","",NewTransaction!B2)</f>
        <v>Purchase equipment for cash</v>
      </c>
      <c r="C3" s="4" t="str">
        <f>IF(NewTransaction!A2="","",NewTransaction!D2)</f>
        <v>Cash</v>
      </c>
      <c r="D3" s="5">
        <f>IF(A3="","",0)</f>
        <v>0</v>
      </c>
      <c r="E3" s="5">
        <f>IF(NewTransaction!A2="","",NewTransaction!E2)</f>
        <v>18000</v>
      </c>
    </row>
    <row r="4" spans="1:5" x14ac:dyDescent="0.35">
      <c r="A4" s="4" t="str">
        <f>IF(NewTransaction!A3="","",NewTransaction!A3)</f>
        <v>2026-09-02</v>
      </c>
      <c r="B4" s="4" t="str">
        <f>IF(NewTransaction!A3="","",NewTransaction!B3)</f>
        <v>Provide services and receive cash</v>
      </c>
      <c r="C4" s="4" t="str">
        <f>IF(NewTransaction!A3="","",NewTransaction!C3)</f>
        <v>Cash</v>
      </c>
      <c r="D4" s="5">
        <f>IF(NewTransaction!A3="","",NewTransaction!E3)</f>
        <v>5600</v>
      </c>
      <c r="E4" s="5">
        <f>IF(A4="","",0)</f>
        <v>0</v>
      </c>
    </row>
    <row r="5" spans="1:5" x14ac:dyDescent="0.35">
      <c r="A5" s="4" t="str">
        <f>IF(NewTransaction!A3="","",NewTransaction!A3)</f>
        <v>2026-09-02</v>
      </c>
      <c r="B5" s="4" t="str">
        <f>IF(NewTransaction!A3="","",NewTransaction!B3)</f>
        <v>Provide services and receive cash</v>
      </c>
      <c r="C5" s="4" t="str">
        <f>IF(NewTransaction!A3="","",NewTransaction!D3)</f>
        <v>Service Revenue</v>
      </c>
      <c r="D5" s="5">
        <f>IF(A5="","",0)</f>
        <v>0</v>
      </c>
      <c r="E5" s="5">
        <f>IF(NewTransaction!A3="","",NewTransaction!E3)</f>
        <v>5600</v>
      </c>
    </row>
    <row r="6" spans="1:5" x14ac:dyDescent="0.35">
      <c r="A6" s="4" t="str">
        <f>IF(NewTransaction!A4="","",NewTransaction!A4)</f>
        <v>2026-09-03</v>
      </c>
      <c r="B6" s="4" t="str">
        <f>IF(NewTransaction!A4="","",NewTransaction!B4)</f>
        <v>Pay current month's rent</v>
      </c>
      <c r="C6" s="4" t="str">
        <f>IF(NewTransaction!A4="","",NewTransaction!C4)</f>
        <v>Rent Expense</v>
      </c>
      <c r="D6" s="5">
        <f>IF(NewTransaction!A4="","",NewTransaction!E4)</f>
        <v>2700</v>
      </c>
      <c r="E6" s="5">
        <f>IF(A6="","",0)</f>
        <v>0</v>
      </c>
    </row>
    <row r="7" spans="1:5" x14ac:dyDescent="0.35">
      <c r="A7" s="4" t="str">
        <f>IF(NewTransaction!A4="","",NewTransaction!A4)</f>
        <v>2026-09-03</v>
      </c>
      <c r="B7" s="4" t="str">
        <f>IF(NewTransaction!A4="","",NewTransaction!B4)</f>
        <v>Pay current month's rent</v>
      </c>
      <c r="C7" s="4" t="str">
        <f>IF(NewTransaction!A4="","",NewTransaction!D4)</f>
        <v>Cash</v>
      </c>
      <c r="D7" s="5">
        <f>IF(A7="","",0)</f>
        <v>0</v>
      </c>
      <c r="E7" s="5">
        <f>IF(NewTransaction!A4="","",NewTransaction!E4)</f>
        <v>2700</v>
      </c>
    </row>
    <row r="8" spans="1:5" x14ac:dyDescent="0.35">
      <c r="A8" s="4" t="str">
        <f>IF(NewTransaction!A5="","",NewTransaction!A5)</f>
        <v>2026-09-04</v>
      </c>
      <c r="B8" s="4" t="str">
        <f>IF(NewTransaction!A5="","",NewTransaction!B5)</f>
        <v>Purchase office supplies on account</v>
      </c>
      <c r="C8" s="4" t="str">
        <f>IF(NewTransaction!A5="","",NewTransaction!C5)</f>
        <v>Office Supplies</v>
      </c>
      <c r="D8" s="5">
        <f>IF(NewTransaction!A5="","",NewTransaction!E5)</f>
        <v>2200</v>
      </c>
      <c r="E8" s="5">
        <f>IF(A8="","",0)</f>
        <v>0</v>
      </c>
    </row>
    <row r="9" spans="1:5" x14ac:dyDescent="0.35">
      <c r="A9" s="4" t="str">
        <f>IF(NewTransaction!A5="","",NewTransaction!A5)</f>
        <v>2026-09-04</v>
      </c>
      <c r="B9" s="4" t="str">
        <f>IF(NewTransaction!A5="","",NewTransaction!B5)</f>
        <v>Purchase office supplies on account</v>
      </c>
      <c r="C9" s="4" t="str">
        <f>IF(NewTransaction!A5="","",NewTransaction!D5)</f>
        <v>Accounts Payable</v>
      </c>
      <c r="D9" s="5">
        <f>IF(A9="","",0)</f>
        <v>0</v>
      </c>
      <c r="E9" s="5">
        <f>IF(NewTransaction!A5="","",NewTransaction!E5)</f>
        <v>2200</v>
      </c>
    </row>
    <row r="10" spans="1:5" x14ac:dyDescent="0.35">
      <c r="A10" s="4" t="str">
        <f>IF(NewTransaction!A6="","",NewTransaction!A6)</f>
        <v>2026-09-05</v>
      </c>
      <c r="B10" s="4" t="str">
        <f>IF(NewTransaction!A6="","",NewTransaction!B6)</f>
        <v>Pay employee salaries</v>
      </c>
      <c r="C10" s="4" t="str">
        <f>IF(NewTransaction!A6="","",NewTransaction!C6)</f>
        <v>Salaries Expense</v>
      </c>
      <c r="D10" s="5">
        <f>IF(NewTransaction!A6="","",NewTransaction!E6)</f>
        <v>3200</v>
      </c>
      <c r="E10" s="5">
        <f>IF(A10="","",0)</f>
        <v>0</v>
      </c>
    </row>
    <row r="11" spans="1:5" x14ac:dyDescent="0.35">
      <c r="A11" s="4" t="str">
        <f>IF(NewTransaction!A6="","",NewTransaction!A6)</f>
        <v>2026-09-05</v>
      </c>
      <c r="B11" s="4" t="str">
        <f>IF(NewTransaction!A6="","",NewTransaction!B6)</f>
        <v>Pay employee salaries</v>
      </c>
      <c r="C11" s="4" t="str">
        <f>IF(NewTransaction!A6="","",NewTransaction!D6)</f>
        <v>Cash</v>
      </c>
      <c r="D11" s="5">
        <f>IF(A11="","",0)</f>
        <v>0</v>
      </c>
      <c r="E11" s="5">
        <f>IF(NewTransaction!A6="","",NewTransaction!E6)</f>
        <v>3200</v>
      </c>
    </row>
    <row r="12" spans="1:5" x14ac:dyDescent="0.35">
      <c r="A12" s="4" t="str">
        <f>IF(NewTransaction!A7="","",NewTransaction!A7)</f>
        <v>2026-09-01</v>
      </c>
      <c r="B12" s="4" t="str">
        <f>IF(NewTransaction!A7="","",NewTransaction!B7)</f>
        <v>Owner invests opening cash (balancing example)</v>
      </c>
      <c r="C12" s="4" t="str">
        <f>IF(NewTransaction!A7="","",NewTransaction!C7)</f>
        <v>Cash</v>
      </c>
      <c r="D12" s="5">
        <f>IF(NewTransaction!A7="","",NewTransaction!E7)</f>
        <v>18300</v>
      </c>
      <c r="E12" s="5">
        <f>IF(A12="","",0)</f>
        <v>0</v>
      </c>
    </row>
    <row r="13" spans="1:5" x14ac:dyDescent="0.35">
      <c r="A13" s="4" t="str">
        <f>IF(NewTransaction!A7="","",NewTransaction!A7)</f>
        <v>2026-09-01</v>
      </c>
      <c r="B13" s="4" t="str">
        <f>IF(NewTransaction!A7="","",NewTransaction!B7)</f>
        <v>Owner invests opening cash (balancing example)</v>
      </c>
      <c r="C13" s="4" t="str">
        <f>IF(NewTransaction!A7="","",NewTransaction!D7)</f>
        <v>Owner's Capital</v>
      </c>
      <c r="D13" s="5">
        <f>IF(A13="","",0)</f>
        <v>0</v>
      </c>
      <c r="E13" s="5">
        <f>IF(NewTransaction!A7="","",NewTransaction!E7)</f>
        <v>18300</v>
      </c>
    </row>
    <row r="14" spans="1:5" x14ac:dyDescent="0.35">
      <c r="A14" s="4" t="str">
        <f>IF(NewTransaction!A8="","",NewTransaction!A8)</f>
        <v/>
      </c>
      <c r="B14" s="4" t="str">
        <f>IF(NewTransaction!A8="","",NewTransaction!B8)</f>
        <v/>
      </c>
      <c r="C14" s="4" t="str">
        <f>IF(NewTransaction!A8="","",NewTransaction!C8)</f>
        <v/>
      </c>
      <c r="D14" s="5" t="str">
        <f>IF(NewTransaction!A8="","",NewTransaction!E8)</f>
        <v/>
      </c>
      <c r="E14" s="5" t="str">
        <f>IF(A14="","",0)</f>
        <v/>
      </c>
    </row>
    <row r="15" spans="1:5" x14ac:dyDescent="0.35">
      <c r="A15" s="4" t="str">
        <f>IF(NewTransaction!A8="","",NewTransaction!A8)</f>
        <v/>
      </c>
      <c r="B15" s="4" t="str">
        <f>IF(NewTransaction!A8="","",NewTransaction!B8)</f>
        <v/>
      </c>
      <c r="C15" s="4" t="str">
        <f>IF(NewTransaction!A8="","",NewTransaction!D8)</f>
        <v/>
      </c>
      <c r="D15" s="5" t="str">
        <f>IF(A15="","",0)</f>
        <v/>
      </c>
      <c r="E15" s="5" t="str">
        <f>IF(NewTransaction!A8="","",NewTransaction!E8)</f>
        <v/>
      </c>
    </row>
    <row r="16" spans="1:5" x14ac:dyDescent="0.35">
      <c r="A16" s="4" t="str">
        <f>IF(NewTransaction!A9="","",NewTransaction!A9)</f>
        <v>NOTE</v>
      </c>
      <c r="B16" s="4" t="str">
        <f>IF(NewTransaction!A9="","",NewTransaction!B9)</f>
        <v>The £18,300 Owner's Capital entry is included as a balancing example so the financial statements can be complete. Delete it if you want to practise the original five transactions only.</v>
      </c>
      <c r="C16" s="4">
        <f>IF(NewTransaction!A9="","",NewTransaction!C9)</f>
        <v>0</v>
      </c>
      <c r="D16" s="5">
        <f>IF(NewTransaction!A9="","",NewTransaction!E9)</f>
        <v>0</v>
      </c>
      <c r="E16" s="5">
        <f>IF(A16="","",0)</f>
        <v>0</v>
      </c>
    </row>
    <row r="17" spans="1:5" x14ac:dyDescent="0.35">
      <c r="A17" s="4" t="str">
        <f>IF(NewTransaction!A9="","",NewTransaction!A9)</f>
        <v>NOTE</v>
      </c>
      <c r="B17" s="4" t="str">
        <f>IF(NewTransaction!A9="","",NewTransaction!B9)</f>
        <v>The £18,300 Owner's Capital entry is included as a balancing example so the financial statements can be complete. Delete it if you want to practise the original five transactions only.</v>
      </c>
      <c r="C17" s="4">
        <f>IF(NewTransaction!A9="","",NewTransaction!D9)</f>
        <v>0</v>
      </c>
      <c r="D17" s="5">
        <f>IF(A17="","",0)</f>
        <v>0</v>
      </c>
      <c r="E17" s="5">
        <f>IF(NewTransaction!A9="","",NewTransaction!E9)</f>
        <v>0</v>
      </c>
    </row>
    <row r="18" spans="1:5" x14ac:dyDescent="0.35">
      <c r="A18" s="4" t="str">
        <f>IF(NewTransaction!A10="","",NewTransaction!A10)</f>
        <v/>
      </c>
      <c r="B18" s="4" t="str">
        <f>IF(NewTransaction!A10="","",NewTransaction!B10)</f>
        <v/>
      </c>
      <c r="C18" s="4" t="str">
        <f>IF(NewTransaction!A10="","",NewTransaction!C10)</f>
        <v/>
      </c>
      <c r="D18" s="5" t="str">
        <f>IF(NewTransaction!A10="","",NewTransaction!E10)</f>
        <v/>
      </c>
      <c r="E18" s="5" t="str">
        <f>IF(A18="","",0)</f>
        <v/>
      </c>
    </row>
    <row r="19" spans="1:5" x14ac:dyDescent="0.35">
      <c r="A19" s="4" t="str">
        <f>IF(NewTransaction!A10="","",NewTransaction!A10)</f>
        <v/>
      </c>
      <c r="B19" s="4" t="str">
        <f>IF(NewTransaction!A10="","",NewTransaction!B10)</f>
        <v/>
      </c>
      <c r="C19" s="4" t="str">
        <f>IF(NewTransaction!A10="","",NewTransaction!D10)</f>
        <v/>
      </c>
      <c r="D19" s="5" t="str">
        <f>IF(A19="","",0)</f>
        <v/>
      </c>
      <c r="E19" s="5" t="str">
        <f>IF(NewTransaction!A10="","",NewTransaction!E10)</f>
        <v/>
      </c>
    </row>
    <row r="20" spans="1:5" x14ac:dyDescent="0.35">
      <c r="A20" s="4" t="str">
        <f>IF(NewTransaction!A11="","",NewTransaction!A11)</f>
        <v/>
      </c>
      <c r="B20" s="4" t="str">
        <f>IF(NewTransaction!A11="","",NewTransaction!B11)</f>
        <v/>
      </c>
      <c r="C20" s="4" t="str">
        <f>IF(NewTransaction!A11="","",NewTransaction!C11)</f>
        <v/>
      </c>
      <c r="D20" s="5" t="str">
        <f>IF(NewTransaction!A11="","",NewTransaction!E11)</f>
        <v/>
      </c>
      <c r="E20" s="5" t="str">
        <f>IF(A20="","",0)</f>
        <v/>
      </c>
    </row>
    <row r="21" spans="1:5" x14ac:dyDescent="0.35">
      <c r="A21" s="4" t="str">
        <f>IF(NewTransaction!A11="","",NewTransaction!A11)</f>
        <v/>
      </c>
      <c r="B21" s="4" t="str">
        <f>IF(NewTransaction!A11="","",NewTransaction!B11)</f>
        <v/>
      </c>
      <c r="C21" s="4" t="str">
        <f>IF(NewTransaction!A11="","",NewTransaction!D11)</f>
        <v/>
      </c>
      <c r="D21" s="5" t="str">
        <f>IF(A21="","",0)</f>
        <v/>
      </c>
      <c r="E21" s="5" t="str">
        <f>IF(NewTransaction!A11="","",NewTransaction!E11)</f>
        <v/>
      </c>
    </row>
    <row r="22" spans="1:5" x14ac:dyDescent="0.35">
      <c r="A22" s="4" t="str">
        <f>IF(NewTransaction!A12="","",NewTransaction!A12)</f>
        <v/>
      </c>
      <c r="B22" s="4" t="str">
        <f>IF(NewTransaction!A12="","",NewTransaction!B12)</f>
        <v/>
      </c>
      <c r="C22" s="4" t="str">
        <f>IF(NewTransaction!A12="","",NewTransaction!C12)</f>
        <v/>
      </c>
      <c r="D22" s="5" t="str">
        <f>IF(NewTransaction!A12="","",NewTransaction!E12)</f>
        <v/>
      </c>
      <c r="E22" s="5" t="str">
        <f>IF(A22="","",0)</f>
        <v/>
      </c>
    </row>
    <row r="23" spans="1:5" x14ac:dyDescent="0.35">
      <c r="A23" s="4" t="str">
        <f>IF(NewTransaction!A12="","",NewTransaction!A12)</f>
        <v/>
      </c>
      <c r="B23" s="4" t="str">
        <f>IF(NewTransaction!A12="","",NewTransaction!B12)</f>
        <v/>
      </c>
      <c r="C23" s="4" t="str">
        <f>IF(NewTransaction!A12="","",NewTransaction!D12)</f>
        <v/>
      </c>
      <c r="D23" s="5" t="str">
        <f>IF(A23="","",0)</f>
        <v/>
      </c>
      <c r="E23" s="5" t="str">
        <f>IF(NewTransaction!A12="","",NewTransaction!E12)</f>
        <v/>
      </c>
    </row>
    <row r="24" spans="1:5" x14ac:dyDescent="0.35">
      <c r="A24" s="4" t="str">
        <f>IF(NewTransaction!A13="","",NewTransaction!A13)</f>
        <v/>
      </c>
      <c r="B24" s="4" t="str">
        <f>IF(NewTransaction!A13="","",NewTransaction!B13)</f>
        <v/>
      </c>
      <c r="C24" s="4" t="str">
        <f>IF(NewTransaction!A13="","",NewTransaction!C13)</f>
        <v/>
      </c>
      <c r="D24" s="5" t="str">
        <f>IF(NewTransaction!A13="","",NewTransaction!E13)</f>
        <v/>
      </c>
      <c r="E24" s="5" t="str">
        <f>IF(A24="","",0)</f>
        <v/>
      </c>
    </row>
    <row r="25" spans="1:5" x14ac:dyDescent="0.35">
      <c r="A25" s="4" t="str">
        <f>IF(NewTransaction!A13="","",NewTransaction!A13)</f>
        <v/>
      </c>
      <c r="B25" s="4" t="str">
        <f>IF(NewTransaction!A13="","",NewTransaction!B13)</f>
        <v/>
      </c>
      <c r="C25" s="4" t="str">
        <f>IF(NewTransaction!A13="","",NewTransaction!D13)</f>
        <v/>
      </c>
      <c r="D25" s="5" t="str">
        <f>IF(A25="","",0)</f>
        <v/>
      </c>
      <c r="E25" s="5" t="str">
        <f>IF(NewTransaction!A13="","",NewTransaction!E13)</f>
        <v/>
      </c>
    </row>
    <row r="26" spans="1:5" x14ac:dyDescent="0.35">
      <c r="A26" s="4" t="str">
        <f>IF(NewTransaction!A14="","",NewTransaction!A14)</f>
        <v/>
      </c>
      <c r="B26" s="4" t="str">
        <f>IF(NewTransaction!A14="","",NewTransaction!B14)</f>
        <v/>
      </c>
      <c r="C26" s="4" t="str">
        <f>IF(NewTransaction!A14="","",NewTransaction!C14)</f>
        <v/>
      </c>
      <c r="D26" s="5" t="str">
        <f>IF(NewTransaction!A14="","",NewTransaction!E14)</f>
        <v/>
      </c>
      <c r="E26" s="5" t="str">
        <f>IF(A26="","",0)</f>
        <v/>
      </c>
    </row>
    <row r="27" spans="1:5" x14ac:dyDescent="0.35">
      <c r="A27" s="4" t="str">
        <f>IF(NewTransaction!A14="","",NewTransaction!A14)</f>
        <v/>
      </c>
      <c r="B27" s="4" t="str">
        <f>IF(NewTransaction!A14="","",NewTransaction!B14)</f>
        <v/>
      </c>
      <c r="C27" s="4" t="str">
        <f>IF(NewTransaction!A14="","",NewTransaction!D14)</f>
        <v/>
      </c>
      <c r="D27" s="5" t="str">
        <f>IF(A27="","",0)</f>
        <v/>
      </c>
      <c r="E27" s="5" t="str">
        <f>IF(NewTransaction!A14="","",NewTransaction!E14)</f>
        <v/>
      </c>
    </row>
    <row r="28" spans="1:5" x14ac:dyDescent="0.35">
      <c r="A28" s="4" t="str">
        <f>IF(NewTransaction!A15="","",NewTransaction!A15)</f>
        <v/>
      </c>
      <c r="B28" s="4" t="str">
        <f>IF(NewTransaction!A15="","",NewTransaction!B15)</f>
        <v/>
      </c>
      <c r="C28" s="4" t="str">
        <f>IF(NewTransaction!A15="","",NewTransaction!C15)</f>
        <v/>
      </c>
      <c r="D28" s="5" t="str">
        <f>IF(NewTransaction!A15="","",NewTransaction!E15)</f>
        <v/>
      </c>
      <c r="E28" s="5" t="str">
        <f>IF(A28="","",0)</f>
        <v/>
      </c>
    </row>
    <row r="29" spans="1:5" x14ac:dyDescent="0.35">
      <c r="A29" s="4" t="str">
        <f>IF(NewTransaction!A15="","",NewTransaction!A15)</f>
        <v/>
      </c>
      <c r="B29" s="4" t="str">
        <f>IF(NewTransaction!A15="","",NewTransaction!B15)</f>
        <v/>
      </c>
      <c r="C29" s="4" t="str">
        <f>IF(NewTransaction!A15="","",NewTransaction!D15)</f>
        <v/>
      </c>
      <c r="D29" s="5" t="str">
        <f>IF(A29="","",0)</f>
        <v/>
      </c>
      <c r="E29" s="5" t="str">
        <f>IF(NewTransaction!A15="","",NewTransaction!E15)</f>
        <v/>
      </c>
    </row>
    <row r="30" spans="1:5" x14ac:dyDescent="0.35">
      <c r="A30" s="4" t="str">
        <f>IF(NewTransaction!A16="","",NewTransaction!A16)</f>
        <v/>
      </c>
      <c r="B30" s="4" t="str">
        <f>IF(NewTransaction!A16="","",NewTransaction!B16)</f>
        <v/>
      </c>
      <c r="C30" s="4" t="str">
        <f>IF(NewTransaction!A16="","",NewTransaction!C16)</f>
        <v/>
      </c>
      <c r="D30" s="5" t="str">
        <f>IF(NewTransaction!A16="","",NewTransaction!E16)</f>
        <v/>
      </c>
      <c r="E30" s="5" t="str">
        <f>IF(A30="","",0)</f>
        <v/>
      </c>
    </row>
    <row r="31" spans="1:5" x14ac:dyDescent="0.35">
      <c r="A31" s="4" t="str">
        <f>IF(NewTransaction!A16="","",NewTransaction!A16)</f>
        <v/>
      </c>
      <c r="B31" s="4" t="str">
        <f>IF(NewTransaction!A16="","",NewTransaction!B16)</f>
        <v/>
      </c>
      <c r="C31" s="4" t="str">
        <f>IF(NewTransaction!A16="","",NewTransaction!D16)</f>
        <v/>
      </c>
      <c r="D31" s="5" t="str">
        <f>IF(A31="","",0)</f>
        <v/>
      </c>
      <c r="E31" s="5" t="str">
        <f>IF(NewTransaction!A16="","",NewTransaction!E16)</f>
        <v/>
      </c>
    </row>
    <row r="32" spans="1:5" x14ac:dyDescent="0.35">
      <c r="A32" s="4" t="str">
        <f>IF(NewTransaction!A17="","",NewTransaction!A17)</f>
        <v/>
      </c>
      <c r="B32" s="4" t="str">
        <f>IF(NewTransaction!A17="","",NewTransaction!B17)</f>
        <v/>
      </c>
      <c r="C32" s="4" t="str">
        <f>IF(NewTransaction!A17="","",NewTransaction!C17)</f>
        <v/>
      </c>
      <c r="D32" s="5" t="str">
        <f>IF(NewTransaction!A17="","",NewTransaction!E17)</f>
        <v/>
      </c>
      <c r="E32" s="5" t="str">
        <f>IF(A32="","",0)</f>
        <v/>
      </c>
    </row>
    <row r="33" spans="1:5" x14ac:dyDescent="0.35">
      <c r="A33" s="4" t="str">
        <f>IF(NewTransaction!A17="","",NewTransaction!A17)</f>
        <v/>
      </c>
      <c r="B33" s="4" t="str">
        <f>IF(NewTransaction!A17="","",NewTransaction!B17)</f>
        <v/>
      </c>
      <c r="C33" s="4" t="str">
        <f>IF(NewTransaction!A17="","",NewTransaction!D17)</f>
        <v/>
      </c>
      <c r="D33" s="5" t="str">
        <f>IF(A33="","",0)</f>
        <v/>
      </c>
      <c r="E33" s="5" t="str">
        <f>IF(NewTransaction!A17="","",NewTransaction!E17)</f>
        <v/>
      </c>
    </row>
    <row r="34" spans="1:5" x14ac:dyDescent="0.35">
      <c r="A34" s="4" t="str">
        <f>IF(NewTransaction!A18="","",NewTransaction!A18)</f>
        <v/>
      </c>
      <c r="B34" s="4" t="str">
        <f>IF(NewTransaction!A18="","",NewTransaction!B18)</f>
        <v/>
      </c>
      <c r="C34" s="4" t="str">
        <f>IF(NewTransaction!A18="","",NewTransaction!C18)</f>
        <v/>
      </c>
      <c r="D34" s="5" t="str">
        <f>IF(NewTransaction!A18="","",NewTransaction!E18)</f>
        <v/>
      </c>
      <c r="E34" s="5" t="str">
        <f>IF(A34="","",0)</f>
        <v/>
      </c>
    </row>
    <row r="35" spans="1:5" x14ac:dyDescent="0.35">
      <c r="A35" s="4" t="str">
        <f>IF(NewTransaction!A18="","",NewTransaction!A18)</f>
        <v/>
      </c>
      <c r="B35" s="4" t="str">
        <f>IF(NewTransaction!A18="","",NewTransaction!B18)</f>
        <v/>
      </c>
      <c r="C35" s="4" t="str">
        <f>IF(NewTransaction!A18="","",NewTransaction!D18)</f>
        <v/>
      </c>
      <c r="D35" s="5" t="str">
        <f>IF(A35="","",0)</f>
        <v/>
      </c>
      <c r="E35" s="5" t="str">
        <f>IF(NewTransaction!A18="","",NewTransaction!E18)</f>
        <v/>
      </c>
    </row>
    <row r="36" spans="1:5" x14ac:dyDescent="0.35">
      <c r="A36" s="4" t="str">
        <f>IF(NewTransaction!A19="","",NewTransaction!A19)</f>
        <v/>
      </c>
      <c r="B36" s="4" t="str">
        <f>IF(NewTransaction!A19="","",NewTransaction!B19)</f>
        <v/>
      </c>
      <c r="C36" s="4" t="str">
        <f>IF(NewTransaction!A19="","",NewTransaction!C19)</f>
        <v/>
      </c>
      <c r="D36" s="5" t="str">
        <f>IF(NewTransaction!A19="","",NewTransaction!E19)</f>
        <v/>
      </c>
      <c r="E36" s="5" t="str">
        <f>IF(A36="","",0)</f>
        <v/>
      </c>
    </row>
    <row r="37" spans="1:5" x14ac:dyDescent="0.35">
      <c r="A37" s="4" t="str">
        <f>IF(NewTransaction!A19="","",NewTransaction!A19)</f>
        <v/>
      </c>
      <c r="B37" s="4" t="str">
        <f>IF(NewTransaction!A19="","",NewTransaction!B19)</f>
        <v/>
      </c>
      <c r="C37" s="4" t="str">
        <f>IF(NewTransaction!A19="","",NewTransaction!D19)</f>
        <v/>
      </c>
      <c r="D37" s="5" t="str">
        <f>IF(A37="","",0)</f>
        <v/>
      </c>
      <c r="E37" s="5" t="str">
        <f>IF(NewTransaction!A19="","",NewTransaction!E19)</f>
        <v/>
      </c>
    </row>
    <row r="38" spans="1:5" x14ac:dyDescent="0.35">
      <c r="A38" s="4" t="str">
        <f>IF(NewTransaction!A20="","",NewTransaction!A20)</f>
        <v/>
      </c>
      <c r="B38" s="4" t="str">
        <f>IF(NewTransaction!A20="","",NewTransaction!B20)</f>
        <v/>
      </c>
      <c r="C38" s="4" t="str">
        <f>IF(NewTransaction!A20="","",NewTransaction!C20)</f>
        <v/>
      </c>
      <c r="D38" s="5" t="str">
        <f>IF(NewTransaction!A20="","",NewTransaction!E20)</f>
        <v/>
      </c>
      <c r="E38" s="5" t="str">
        <f>IF(A38="","",0)</f>
        <v/>
      </c>
    </row>
    <row r="39" spans="1:5" x14ac:dyDescent="0.35">
      <c r="A39" s="4" t="str">
        <f>IF(NewTransaction!A20="","",NewTransaction!A20)</f>
        <v/>
      </c>
      <c r="B39" s="4" t="str">
        <f>IF(NewTransaction!A20="","",NewTransaction!B20)</f>
        <v/>
      </c>
      <c r="C39" s="4" t="str">
        <f>IF(NewTransaction!A20="","",NewTransaction!D20)</f>
        <v/>
      </c>
      <c r="D39" s="5" t="str">
        <f>IF(A39="","",0)</f>
        <v/>
      </c>
      <c r="E39" s="5" t="str">
        <f>IF(NewTransaction!A20="","",NewTransaction!E20)</f>
        <v/>
      </c>
    </row>
    <row r="40" spans="1:5" x14ac:dyDescent="0.35">
      <c r="A40" s="4" t="str">
        <f>IF(NewTransaction!A21="","",NewTransaction!A21)</f>
        <v/>
      </c>
      <c r="B40" s="4" t="str">
        <f>IF(NewTransaction!A21="","",NewTransaction!B21)</f>
        <v/>
      </c>
      <c r="C40" s="4" t="str">
        <f>IF(NewTransaction!A21="","",NewTransaction!C21)</f>
        <v/>
      </c>
      <c r="D40" s="5" t="str">
        <f>IF(NewTransaction!A21="","",NewTransaction!E21)</f>
        <v/>
      </c>
      <c r="E40" s="5" t="str">
        <f>IF(A40="","",0)</f>
        <v/>
      </c>
    </row>
    <row r="41" spans="1:5" x14ac:dyDescent="0.35">
      <c r="A41" s="4" t="str">
        <f>IF(NewTransaction!A21="","",NewTransaction!A21)</f>
        <v/>
      </c>
      <c r="B41" s="4" t="str">
        <f>IF(NewTransaction!A21="","",NewTransaction!B21)</f>
        <v/>
      </c>
      <c r="C41" s="4" t="str">
        <f>IF(NewTransaction!A21="","",NewTransaction!D21)</f>
        <v/>
      </c>
      <c r="D41" s="5" t="str">
        <f>IF(A41="","",0)</f>
        <v/>
      </c>
      <c r="E41" s="5" t="str">
        <f>IF(NewTransaction!A21="","",NewTransaction!E21)</f>
        <v/>
      </c>
    </row>
    <row r="42" spans="1:5" x14ac:dyDescent="0.35">
      <c r="A42" s="4" t="str">
        <f>IF(NewTransaction!A22="","",NewTransaction!A22)</f>
        <v/>
      </c>
      <c r="B42" s="4" t="str">
        <f>IF(NewTransaction!A22="","",NewTransaction!B22)</f>
        <v/>
      </c>
      <c r="C42" s="4" t="str">
        <f>IF(NewTransaction!A22="","",NewTransaction!C22)</f>
        <v/>
      </c>
      <c r="D42" s="5" t="str">
        <f>IF(NewTransaction!A22="","",NewTransaction!E22)</f>
        <v/>
      </c>
      <c r="E42" s="5" t="str">
        <f>IF(A42="","",0)</f>
        <v/>
      </c>
    </row>
    <row r="43" spans="1:5" x14ac:dyDescent="0.35">
      <c r="A43" s="4" t="str">
        <f>IF(NewTransaction!A22="","",NewTransaction!A22)</f>
        <v/>
      </c>
      <c r="B43" s="4" t="str">
        <f>IF(NewTransaction!A22="","",NewTransaction!B22)</f>
        <v/>
      </c>
      <c r="C43" s="4" t="str">
        <f>IF(NewTransaction!A22="","",NewTransaction!D22)</f>
        <v/>
      </c>
      <c r="D43" s="5" t="str">
        <f>IF(A43="","",0)</f>
        <v/>
      </c>
      <c r="E43" s="5" t="str">
        <f>IF(NewTransaction!A22="","",NewTransaction!E22)</f>
        <v/>
      </c>
    </row>
    <row r="44" spans="1:5" x14ac:dyDescent="0.35">
      <c r="A44" s="4" t="str">
        <f>IF(NewTransaction!A23="","",NewTransaction!A23)</f>
        <v/>
      </c>
      <c r="B44" s="4" t="str">
        <f>IF(NewTransaction!A23="","",NewTransaction!B23)</f>
        <v/>
      </c>
      <c r="C44" s="4" t="str">
        <f>IF(NewTransaction!A23="","",NewTransaction!C23)</f>
        <v/>
      </c>
      <c r="D44" s="5" t="str">
        <f>IF(NewTransaction!A23="","",NewTransaction!E23)</f>
        <v/>
      </c>
      <c r="E44" s="5" t="str">
        <f>IF(A44="","",0)</f>
        <v/>
      </c>
    </row>
    <row r="45" spans="1:5" x14ac:dyDescent="0.35">
      <c r="A45" s="4" t="str">
        <f>IF(NewTransaction!A23="","",NewTransaction!A23)</f>
        <v/>
      </c>
      <c r="B45" s="4" t="str">
        <f>IF(NewTransaction!A23="","",NewTransaction!B23)</f>
        <v/>
      </c>
      <c r="C45" s="4" t="str">
        <f>IF(NewTransaction!A23="","",NewTransaction!D23)</f>
        <v/>
      </c>
      <c r="D45" s="5" t="str">
        <f>IF(A45="","",0)</f>
        <v/>
      </c>
      <c r="E45" s="5" t="str">
        <f>IF(NewTransaction!A23="","",NewTransaction!E23)</f>
        <v/>
      </c>
    </row>
    <row r="46" spans="1:5" x14ac:dyDescent="0.35">
      <c r="A46" s="4" t="str">
        <f>IF(NewTransaction!A24="","",NewTransaction!A24)</f>
        <v/>
      </c>
      <c r="B46" s="4" t="str">
        <f>IF(NewTransaction!A24="","",NewTransaction!B24)</f>
        <v/>
      </c>
      <c r="C46" s="4" t="str">
        <f>IF(NewTransaction!A24="","",NewTransaction!C24)</f>
        <v/>
      </c>
      <c r="D46" s="5" t="str">
        <f>IF(NewTransaction!A24="","",NewTransaction!E24)</f>
        <v/>
      </c>
      <c r="E46" s="5" t="str">
        <f>IF(A46="","",0)</f>
        <v/>
      </c>
    </row>
    <row r="47" spans="1:5" x14ac:dyDescent="0.35">
      <c r="A47" s="4" t="str">
        <f>IF(NewTransaction!A24="","",NewTransaction!A24)</f>
        <v/>
      </c>
      <c r="B47" s="4" t="str">
        <f>IF(NewTransaction!A24="","",NewTransaction!B24)</f>
        <v/>
      </c>
      <c r="C47" s="4" t="str">
        <f>IF(NewTransaction!A24="","",NewTransaction!D24)</f>
        <v/>
      </c>
      <c r="D47" s="5" t="str">
        <f>IF(A47="","",0)</f>
        <v/>
      </c>
      <c r="E47" s="5" t="str">
        <f>IF(NewTransaction!A24="","",NewTransaction!E24)</f>
        <v/>
      </c>
    </row>
    <row r="48" spans="1:5" x14ac:dyDescent="0.35">
      <c r="A48" s="4" t="str">
        <f>IF(NewTransaction!A25="","",NewTransaction!A25)</f>
        <v/>
      </c>
      <c r="B48" s="4" t="str">
        <f>IF(NewTransaction!A25="","",NewTransaction!B25)</f>
        <v/>
      </c>
      <c r="C48" s="4" t="str">
        <f>IF(NewTransaction!A25="","",NewTransaction!C25)</f>
        <v/>
      </c>
      <c r="D48" s="5" t="str">
        <f>IF(NewTransaction!A25="","",NewTransaction!E25)</f>
        <v/>
      </c>
      <c r="E48" s="5" t="str">
        <f>IF(A48="","",0)</f>
        <v/>
      </c>
    </row>
    <row r="49" spans="1:5" x14ac:dyDescent="0.35">
      <c r="A49" s="4" t="str">
        <f>IF(NewTransaction!A25="","",NewTransaction!A25)</f>
        <v/>
      </c>
      <c r="B49" s="4" t="str">
        <f>IF(NewTransaction!A25="","",NewTransaction!B25)</f>
        <v/>
      </c>
      <c r="C49" s="4" t="str">
        <f>IF(NewTransaction!A25="","",NewTransaction!D25)</f>
        <v/>
      </c>
      <c r="D49" s="5" t="str">
        <f>IF(A49="","",0)</f>
        <v/>
      </c>
      <c r="E49" s="5" t="str">
        <f>IF(NewTransaction!A25="","",NewTransaction!E25)</f>
        <v/>
      </c>
    </row>
    <row r="50" spans="1:5" x14ac:dyDescent="0.35">
      <c r="A50" s="4" t="str">
        <f>IF(NewTransaction!A26="","",NewTransaction!A26)</f>
        <v/>
      </c>
      <c r="B50" s="4" t="str">
        <f>IF(NewTransaction!A26="","",NewTransaction!B26)</f>
        <v/>
      </c>
      <c r="C50" s="4" t="str">
        <f>IF(NewTransaction!A26="","",NewTransaction!C26)</f>
        <v/>
      </c>
      <c r="D50" s="5" t="str">
        <f>IF(NewTransaction!A26="","",NewTransaction!E26)</f>
        <v/>
      </c>
      <c r="E50" s="5" t="str">
        <f>IF(A50="","",0)</f>
        <v/>
      </c>
    </row>
    <row r="51" spans="1:5" x14ac:dyDescent="0.35">
      <c r="A51" s="4" t="str">
        <f>IF(NewTransaction!A26="","",NewTransaction!A26)</f>
        <v/>
      </c>
      <c r="B51" s="4" t="str">
        <f>IF(NewTransaction!A26="","",NewTransaction!B26)</f>
        <v/>
      </c>
      <c r="C51" s="4" t="str">
        <f>IF(NewTransaction!A26="","",NewTransaction!D26)</f>
        <v/>
      </c>
      <c r="D51" s="5" t="str">
        <f>IF(A51="","",0)</f>
        <v/>
      </c>
      <c r="E51" s="5" t="str">
        <f>IF(NewTransaction!A26="","",NewTransaction!E26)</f>
        <v/>
      </c>
    </row>
    <row r="52" spans="1:5" x14ac:dyDescent="0.35">
      <c r="A52" s="4" t="str">
        <f>IF(NewTransaction!A27="","",NewTransaction!A27)</f>
        <v/>
      </c>
      <c r="B52" s="4" t="str">
        <f>IF(NewTransaction!A27="","",NewTransaction!B27)</f>
        <v/>
      </c>
      <c r="C52" s="4" t="str">
        <f>IF(NewTransaction!A27="","",NewTransaction!C27)</f>
        <v/>
      </c>
      <c r="D52" s="5" t="str">
        <f>IF(NewTransaction!A27="","",NewTransaction!E27)</f>
        <v/>
      </c>
      <c r="E52" s="5" t="str">
        <f>IF(A52="","",0)</f>
        <v/>
      </c>
    </row>
    <row r="53" spans="1:5" x14ac:dyDescent="0.35">
      <c r="A53" s="4" t="str">
        <f>IF(NewTransaction!A27="","",NewTransaction!A27)</f>
        <v/>
      </c>
      <c r="B53" s="4" t="str">
        <f>IF(NewTransaction!A27="","",NewTransaction!B27)</f>
        <v/>
      </c>
      <c r="C53" s="4" t="str">
        <f>IF(NewTransaction!A27="","",NewTransaction!D27)</f>
        <v/>
      </c>
      <c r="D53" s="5" t="str">
        <f>IF(A53="","",0)</f>
        <v/>
      </c>
      <c r="E53" s="5" t="str">
        <f>IF(NewTransaction!A27="","",NewTransaction!E27)</f>
        <v/>
      </c>
    </row>
    <row r="54" spans="1:5" x14ac:dyDescent="0.35">
      <c r="A54" s="4" t="str">
        <f>IF(NewTransaction!A28="","",NewTransaction!A28)</f>
        <v/>
      </c>
      <c r="B54" s="4" t="str">
        <f>IF(NewTransaction!A28="","",NewTransaction!B28)</f>
        <v/>
      </c>
      <c r="C54" s="4" t="str">
        <f>IF(NewTransaction!A28="","",NewTransaction!C28)</f>
        <v/>
      </c>
      <c r="D54" s="5" t="str">
        <f>IF(NewTransaction!A28="","",NewTransaction!E28)</f>
        <v/>
      </c>
      <c r="E54" s="5" t="str">
        <f>IF(A54="","",0)</f>
        <v/>
      </c>
    </row>
    <row r="55" spans="1:5" x14ac:dyDescent="0.35">
      <c r="A55" s="4" t="str">
        <f>IF(NewTransaction!A28="","",NewTransaction!A28)</f>
        <v/>
      </c>
      <c r="B55" s="4" t="str">
        <f>IF(NewTransaction!A28="","",NewTransaction!B28)</f>
        <v/>
      </c>
      <c r="C55" s="4" t="str">
        <f>IF(NewTransaction!A28="","",NewTransaction!D28)</f>
        <v/>
      </c>
      <c r="D55" s="5" t="str">
        <f>IF(A55="","",0)</f>
        <v/>
      </c>
      <c r="E55" s="5" t="str">
        <f>IF(NewTransaction!A28="","",NewTransaction!E28)</f>
        <v/>
      </c>
    </row>
    <row r="56" spans="1:5" x14ac:dyDescent="0.35">
      <c r="A56" s="4" t="str">
        <f>IF(NewTransaction!A29="","",NewTransaction!A29)</f>
        <v/>
      </c>
      <c r="B56" s="4" t="str">
        <f>IF(NewTransaction!A29="","",NewTransaction!B29)</f>
        <v/>
      </c>
      <c r="C56" s="4" t="str">
        <f>IF(NewTransaction!A29="","",NewTransaction!C29)</f>
        <v/>
      </c>
      <c r="D56" s="5" t="str">
        <f>IF(NewTransaction!A29="","",NewTransaction!E29)</f>
        <v/>
      </c>
      <c r="E56" s="5" t="str">
        <f>IF(A56="","",0)</f>
        <v/>
      </c>
    </row>
    <row r="57" spans="1:5" x14ac:dyDescent="0.35">
      <c r="A57" s="4" t="str">
        <f>IF(NewTransaction!A29="","",NewTransaction!A29)</f>
        <v/>
      </c>
      <c r="B57" s="4" t="str">
        <f>IF(NewTransaction!A29="","",NewTransaction!B29)</f>
        <v/>
      </c>
      <c r="C57" s="4" t="str">
        <f>IF(NewTransaction!A29="","",NewTransaction!D29)</f>
        <v/>
      </c>
      <c r="D57" s="5" t="str">
        <f>IF(A57="","",0)</f>
        <v/>
      </c>
      <c r="E57" s="5" t="str">
        <f>IF(NewTransaction!A29="","",NewTransaction!E29)</f>
        <v/>
      </c>
    </row>
    <row r="58" spans="1:5" x14ac:dyDescent="0.35">
      <c r="A58" s="4" t="str">
        <f>IF(NewTransaction!A30="","",NewTransaction!A30)</f>
        <v/>
      </c>
      <c r="B58" s="4" t="str">
        <f>IF(NewTransaction!A30="","",NewTransaction!B30)</f>
        <v/>
      </c>
      <c r="C58" s="4" t="str">
        <f>IF(NewTransaction!A30="","",NewTransaction!C30)</f>
        <v/>
      </c>
      <c r="D58" s="5" t="str">
        <f>IF(NewTransaction!A30="","",NewTransaction!E30)</f>
        <v/>
      </c>
      <c r="E58" s="5" t="str">
        <f>IF(A58="","",0)</f>
        <v/>
      </c>
    </row>
    <row r="59" spans="1:5" x14ac:dyDescent="0.35">
      <c r="A59" s="4" t="str">
        <f>IF(NewTransaction!A30="","",NewTransaction!A30)</f>
        <v/>
      </c>
      <c r="B59" s="4" t="str">
        <f>IF(NewTransaction!A30="","",NewTransaction!B30)</f>
        <v/>
      </c>
      <c r="C59" s="4" t="str">
        <f>IF(NewTransaction!A30="","",NewTransaction!D30)</f>
        <v/>
      </c>
      <c r="D59" s="5" t="str">
        <f>IF(A59="","",0)</f>
        <v/>
      </c>
      <c r="E59" s="5" t="str">
        <f>IF(NewTransaction!A30="","",NewTransaction!E30)</f>
        <v/>
      </c>
    </row>
    <row r="60" spans="1:5" x14ac:dyDescent="0.35">
      <c r="A60" s="4" t="str">
        <f>IF(NewTransaction!A31="","",NewTransaction!A31)</f>
        <v/>
      </c>
      <c r="B60" s="4" t="str">
        <f>IF(NewTransaction!A31="","",NewTransaction!B31)</f>
        <v/>
      </c>
      <c r="C60" s="4" t="str">
        <f>IF(NewTransaction!A31="","",NewTransaction!C31)</f>
        <v/>
      </c>
      <c r="D60" s="5" t="str">
        <f>IF(NewTransaction!A31="","",NewTransaction!E31)</f>
        <v/>
      </c>
      <c r="E60" s="5" t="str">
        <f>IF(A60="","",0)</f>
        <v/>
      </c>
    </row>
    <row r="61" spans="1:5" x14ac:dyDescent="0.35">
      <c r="A61" s="4" t="str">
        <f>IF(NewTransaction!A31="","",NewTransaction!A31)</f>
        <v/>
      </c>
      <c r="B61" s="4" t="str">
        <f>IF(NewTransaction!A31="","",NewTransaction!B31)</f>
        <v/>
      </c>
      <c r="C61" s="4" t="str">
        <f>IF(NewTransaction!A31="","",NewTransaction!D31)</f>
        <v/>
      </c>
      <c r="D61" s="5" t="str">
        <f>IF(A61="","",0)</f>
        <v/>
      </c>
      <c r="E61" s="5" t="str">
        <f>IF(NewTransaction!A31="","",NewTransaction!E31)</f>
        <v/>
      </c>
    </row>
    <row r="62" spans="1:5" x14ac:dyDescent="0.35">
      <c r="A62" s="4" t="str">
        <f>IF(NewTransaction!A32="","",NewTransaction!A32)</f>
        <v/>
      </c>
      <c r="B62" s="4" t="str">
        <f>IF(NewTransaction!A32="","",NewTransaction!B32)</f>
        <v/>
      </c>
      <c r="C62" s="4" t="str">
        <f>IF(NewTransaction!A32="","",NewTransaction!C32)</f>
        <v/>
      </c>
      <c r="D62" s="5" t="str">
        <f>IF(NewTransaction!A32="","",NewTransaction!E32)</f>
        <v/>
      </c>
      <c r="E62" s="5" t="str">
        <f>IF(A62="","",0)</f>
        <v/>
      </c>
    </row>
    <row r="63" spans="1:5" x14ac:dyDescent="0.35">
      <c r="A63" s="4" t="str">
        <f>IF(NewTransaction!A32="","",NewTransaction!A32)</f>
        <v/>
      </c>
      <c r="B63" s="4" t="str">
        <f>IF(NewTransaction!A32="","",NewTransaction!B32)</f>
        <v/>
      </c>
      <c r="C63" s="4" t="str">
        <f>IF(NewTransaction!A32="","",NewTransaction!D32)</f>
        <v/>
      </c>
      <c r="D63" s="5" t="str">
        <f>IF(A63="","",0)</f>
        <v/>
      </c>
      <c r="E63" s="5" t="str">
        <f>IF(NewTransaction!A32="","",NewTransaction!E32)</f>
        <v/>
      </c>
    </row>
    <row r="64" spans="1:5" x14ac:dyDescent="0.35">
      <c r="A64" s="4" t="str">
        <f>IF(NewTransaction!A33="","",NewTransaction!A33)</f>
        <v/>
      </c>
      <c r="B64" s="4" t="str">
        <f>IF(NewTransaction!A33="","",NewTransaction!B33)</f>
        <v/>
      </c>
      <c r="C64" s="4" t="str">
        <f>IF(NewTransaction!A33="","",NewTransaction!C33)</f>
        <v/>
      </c>
      <c r="D64" s="5" t="str">
        <f>IF(NewTransaction!A33="","",NewTransaction!E33)</f>
        <v/>
      </c>
      <c r="E64" s="5" t="str">
        <f>IF(A64="","",0)</f>
        <v/>
      </c>
    </row>
    <row r="65" spans="1:5" x14ac:dyDescent="0.35">
      <c r="A65" s="4" t="str">
        <f>IF(NewTransaction!A33="","",NewTransaction!A33)</f>
        <v/>
      </c>
      <c r="B65" s="4" t="str">
        <f>IF(NewTransaction!A33="","",NewTransaction!B33)</f>
        <v/>
      </c>
      <c r="C65" s="4" t="str">
        <f>IF(NewTransaction!A33="","",NewTransaction!D33)</f>
        <v/>
      </c>
      <c r="D65" s="5" t="str">
        <f>IF(A65="","",0)</f>
        <v/>
      </c>
      <c r="E65" s="5" t="str">
        <f>IF(NewTransaction!A33="","",NewTransaction!E33)</f>
        <v/>
      </c>
    </row>
    <row r="66" spans="1:5" x14ac:dyDescent="0.35">
      <c r="A66" s="4" t="str">
        <f>IF(NewTransaction!A34="","",NewTransaction!A34)</f>
        <v/>
      </c>
      <c r="B66" s="4" t="str">
        <f>IF(NewTransaction!A34="","",NewTransaction!B34)</f>
        <v/>
      </c>
      <c r="C66" s="4" t="str">
        <f>IF(NewTransaction!A34="","",NewTransaction!C34)</f>
        <v/>
      </c>
      <c r="D66" s="5" t="str">
        <f>IF(NewTransaction!A34="","",NewTransaction!E34)</f>
        <v/>
      </c>
      <c r="E66" s="5" t="str">
        <f>IF(A66="","",0)</f>
        <v/>
      </c>
    </row>
    <row r="67" spans="1:5" x14ac:dyDescent="0.35">
      <c r="A67" s="4" t="str">
        <f>IF(NewTransaction!A34="","",NewTransaction!A34)</f>
        <v/>
      </c>
      <c r="B67" s="4" t="str">
        <f>IF(NewTransaction!A34="","",NewTransaction!B34)</f>
        <v/>
      </c>
      <c r="C67" s="4" t="str">
        <f>IF(NewTransaction!A34="","",NewTransaction!D34)</f>
        <v/>
      </c>
      <c r="D67" s="5" t="str">
        <f>IF(A67="","",0)</f>
        <v/>
      </c>
      <c r="E67" s="5" t="str">
        <f>IF(NewTransaction!A34="","",NewTransaction!E34)</f>
        <v/>
      </c>
    </row>
    <row r="68" spans="1:5" x14ac:dyDescent="0.35">
      <c r="A68" s="4" t="str">
        <f>IF(NewTransaction!A35="","",NewTransaction!A35)</f>
        <v/>
      </c>
      <c r="B68" s="4" t="str">
        <f>IF(NewTransaction!A35="","",NewTransaction!B35)</f>
        <v/>
      </c>
      <c r="C68" s="4" t="str">
        <f>IF(NewTransaction!A35="","",NewTransaction!C35)</f>
        <v/>
      </c>
      <c r="D68" s="5" t="str">
        <f>IF(NewTransaction!A35="","",NewTransaction!E35)</f>
        <v/>
      </c>
      <c r="E68" s="5" t="str">
        <f>IF(A68="","",0)</f>
        <v/>
      </c>
    </row>
    <row r="69" spans="1:5" x14ac:dyDescent="0.35">
      <c r="A69" s="4" t="str">
        <f>IF(NewTransaction!A35="","",NewTransaction!A35)</f>
        <v/>
      </c>
      <c r="B69" s="4" t="str">
        <f>IF(NewTransaction!A35="","",NewTransaction!B35)</f>
        <v/>
      </c>
      <c r="C69" s="4" t="str">
        <f>IF(NewTransaction!A35="","",NewTransaction!D35)</f>
        <v/>
      </c>
      <c r="D69" s="5" t="str">
        <f>IF(A69="","",0)</f>
        <v/>
      </c>
      <c r="E69" s="5" t="str">
        <f>IF(NewTransaction!A35="","",NewTransaction!E35)</f>
        <v/>
      </c>
    </row>
    <row r="70" spans="1:5" x14ac:dyDescent="0.35">
      <c r="A70" s="4" t="str">
        <f>IF(NewTransaction!A36="","",NewTransaction!A36)</f>
        <v/>
      </c>
      <c r="B70" s="4" t="str">
        <f>IF(NewTransaction!A36="","",NewTransaction!B36)</f>
        <v/>
      </c>
      <c r="C70" s="4" t="str">
        <f>IF(NewTransaction!A36="","",NewTransaction!C36)</f>
        <v/>
      </c>
      <c r="D70" s="5" t="str">
        <f>IF(NewTransaction!A36="","",NewTransaction!E36)</f>
        <v/>
      </c>
      <c r="E70" s="5" t="str">
        <f>IF(A70="","",0)</f>
        <v/>
      </c>
    </row>
    <row r="71" spans="1:5" x14ac:dyDescent="0.35">
      <c r="A71" s="4" t="str">
        <f>IF(NewTransaction!A36="","",NewTransaction!A36)</f>
        <v/>
      </c>
      <c r="B71" s="4" t="str">
        <f>IF(NewTransaction!A36="","",NewTransaction!B36)</f>
        <v/>
      </c>
      <c r="C71" s="4" t="str">
        <f>IF(NewTransaction!A36="","",NewTransaction!D36)</f>
        <v/>
      </c>
      <c r="D71" s="5" t="str">
        <f>IF(A71="","",0)</f>
        <v/>
      </c>
      <c r="E71" s="5" t="str">
        <f>IF(NewTransaction!A36="","",NewTransaction!E36)</f>
        <v/>
      </c>
    </row>
    <row r="72" spans="1:5" x14ac:dyDescent="0.35">
      <c r="A72" s="4" t="str">
        <f>IF(NewTransaction!A37="","",NewTransaction!A37)</f>
        <v/>
      </c>
      <c r="B72" s="4" t="str">
        <f>IF(NewTransaction!A37="","",NewTransaction!B37)</f>
        <v/>
      </c>
      <c r="C72" s="4" t="str">
        <f>IF(NewTransaction!A37="","",NewTransaction!C37)</f>
        <v/>
      </c>
      <c r="D72" s="5" t="str">
        <f>IF(NewTransaction!A37="","",NewTransaction!E37)</f>
        <v/>
      </c>
      <c r="E72" s="5" t="str">
        <f>IF(A72="","",0)</f>
        <v/>
      </c>
    </row>
    <row r="73" spans="1:5" x14ac:dyDescent="0.35">
      <c r="A73" s="4" t="str">
        <f>IF(NewTransaction!A37="","",NewTransaction!A37)</f>
        <v/>
      </c>
      <c r="B73" s="4" t="str">
        <f>IF(NewTransaction!A37="","",NewTransaction!B37)</f>
        <v/>
      </c>
      <c r="C73" s="4" t="str">
        <f>IF(NewTransaction!A37="","",NewTransaction!D37)</f>
        <v/>
      </c>
      <c r="D73" s="5" t="str">
        <f>IF(A73="","",0)</f>
        <v/>
      </c>
      <c r="E73" s="5" t="str">
        <f>IF(NewTransaction!A37="","",NewTransaction!E37)</f>
        <v/>
      </c>
    </row>
    <row r="74" spans="1:5" x14ac:dyDescent="0.35">
      <c r="A74" s="4" t="str">
        <f>IF(NewTransaction!A38="","",NewTransaction!A38)</f>
        <v/>
      </c>
      <c r="B74" s="4" t="str">
        <f>IF(NewTransaction!A38="","",NewTransaction!B38)</f>
        <v/>
      </c>
      <c r="C74" s="4" t="str">
        <f>IF(NewTransaction!A38="","",NewTransaction!C38)</f>
        <v/>
      </c>
      <c r="D74" s="5" t="str">
        <f>IF(NewTransaction!A38="","",NewTransaction!E38)</f>
        <v/>
      </c>
      <c r="E74" s="5" t="str">
        <f>IF(A74="","",0)</f>
        <v/>
      </c>
    </row>
    <row r="75" spans="1:5" x14ac:dyDescent="0.35">
      <c r="A75" s="4" t="str">
        <f>IF(NewTransaction!A38="","",NewTransaction!A38)</f>
        <v/>
      </c>
      <c r="B75" s="4" t="str">
        <f>IF(NewTransaction!A38="","",NewTransaction!B38)</f>
        <v/>
      </c>
      <c r="C75" s="4" t="str">
        <f>IF(NewTransaction!A38="","",NewTransaction!D38)</f>
        <v/>
      </c>
      <c r="D75" s="5" t="str">
        <f>IF(A75="","",0)</f>
        <v/>
      </c>
      <c r="E75" s="5" t="str">
        <f>IF(NewTransaction!A38="","",NewTransaction!E38)</f>
        <v/>
      </c>
    </row>
    <row r="76" spans="1:5" x14ac:dyDescent="0.35">
      <c r="A76" s="4" t="str">
        <f>IF(NewTransaction!A39="","",NewTransaction!A39)</f>
        <v/>
      </c>
      <c r="B76" s="4" t="str">
        <f>IF(NewTransaction!A39="","",NewTransaction!B39)</f>
        <v/>
      </c>
      <c r="C76" s="4" t="str">
        <f>IF(NewTransaction!A39="","",NewTransaction!C39)</f>
        <v/>
      </c>
      <c r="D76" s="5" t="str">
        <f>IF(NewTransaction!A39="","",NewTransaction!E39)</f>
        <v/>
      </c>
      <c r="E76" s="5" t="str">
        <f>IF(A76="","",0)</f>
        <v/>
      </c>
    </row>
    <row r="77" spans="1:5" x14ac:dyDescent="0.35">
      <c r="A77" s="4" t="str">
        <f>IF(NewTransaction!A39="","",NewTransaction!A39)</f>
        <v/>
      </c>
      <c r="B77" s="4" t="str">
        <f>IF(NewTransaction!A39="","",NewTransaction!B39)</f>
        <v/>
      </c>
      <c r="C77" s="4" t="str">
        <f>IF(NewTransaction!A39="","",NewTransaction!D39)</f>
        <v/>
      </c>
      <c r="D77" s="5" t="str">
        <f>IF(A77="","",0)</f>
        <v/>
      </c>
      <c r="E77" s="5" t="str">
        <f>IF(NewTransaction!A39="","",NewTransaction!E39)</f>
        <v/>
      </c>
    </row>
    <row r="78" spans="1:5" x14ac:dyDescent="0.35">
      <c r="A78" s="4" t="str">
        <f>IF(NewTransaction!A40="","",NewTransaction!A40)</f>
        <v/>
      </c>
      <c r="B78" s="4" t="str">
        <f>IF(NewTransaction!A40="","",NewTransaction!B40)</f>
        <v/>
      </c>
      <c r="C78" s="4" t="str">
        <f>IF(NewTransaction!A40="","",NewTransaction!C40)</f>
        <v/>
      </c>
      <c r="D78" s="5" t="str">
        <f>IF(NewTransaction!A40="","",NewTransaction!E40)</f>
        <v/>
      </c>
      <c r="E78" s="5" t="str">
        <f>IF(A78="","",0)</f>
        <v/>
      </c>
    </row>
    <row r="79" spans="1:5" x14ac:dyDescent="0.35">
      <c r="A79" s="4" t="str">
        <f>IF(NewTransaction!A40="","",NewTransaction!A40)</f>
        <v/>
      </c>
      <c r="B79" s="4" t="str">
        <f>IF(NewTransaction!A40="","",NewTransaction!B40)</f>
        <v/>
      </c>
      <c r="C79" s="4" t="str">
        <f>IF(NewTransaction!A40="","",NewTransaction!D40)</f>
        <v/>
      </c>
      <c r="D79" s="5" t="str">
        <f>IF(A79="","",0)</f>
        <v/>
      </c>
      <c r="E79" s="5" t="str">
        <f>IF(NewTransaction!A40="","",NewTransaction!E40)</f>
        <v/>
      </c>
    </row>
    <row r="80" spans="1:5" x14ac:dyDescent="0.35">
      <c r="A80" s="4" t="str">
        <f>IF(NewTransaction!A41="","",NewTransaction!A41)</f>
        <v/>
      </c>
      <c r="B80" s="4" t="str">
        <f>IF(NewTransaction!A41="","",NewTransaction!B41)</f>
        <v/>
      </c>
      <c r="C80" s="4" t="str">
        <f>IF(NewTransaction!A41="","",NewTransaction!C41)</f>
        <v/>
      </c>
      <c r="D80" s="5" t="str">
        <f>IF(NewTransaction!A41="","",NewTransaction!E41)</f>
        <v/>
      </c>
      <c r="E80" s="5" t="str">
        <f>IF(A80="","",0)</f>
        <v/>
      </c>
    </row>
    <row r="81" spans="1:5" x14ac:dyDescent="0.35">
      <c r="A81" s="4" t="str">
        <f>IF(NewTransaction!A41="","",NewTransaction!A41)</f>
        <v/>
      </c>
      <c r="B81" s="4" t="str">
        <f>IF(NewTransaction!A41="","",NewTransaction!B41)</f>
        <v/>
      </c>
      <c r="C81" s="4" t="str">
        <f>IF(NewTransaction!A41="","",NewTransaction!D41)</f>
        <v/>
      </c>
      <c r="D81" s="5" t="str">
        <f>IF(A81="","",0)</f>
        <v/>
      </c>
      <c r="E81" s="5" t="str">
        <f>IF(NewTransaction!A41="","",NewTransaction!E41)</f>
        <v/>
      </c>
    </row>
    <row r="82" spans="1:5" x14ac:dyDescent="0.35">
      <c r="A82" s="4" t="str">
        <f>IF(NewTransaction!A42="","",NewTransaction!A42)</f>
        <v/>
      </c>
      <c r="B82" s="4" t="str">
        <f>IF(NewTransaction!A42="","",NewTransaction!B42)</f>
        <v/>
      </c>
      <c r="C82" s="4" t="str">
        <f>IF(NewTransaction!A42="","",NewTransaction!C42)</f>
        <v/>
      </c>
      <c r="D82" s="5" t="str">
        <f>IF(NewTransaction!A42="","",NewTransaction!E42)</f>
        <v/>
      </c>
      <c r="E82" s="5" t="str">
        <f>IF(A82="","",0)</f>
        <v/>
      </c>
    </row>
    <row r="83" spans="1:5" x14ac:dyDescent="0.35">
      <c r="A83" s="4" t="str">
        <f>IF(NewTransaction!A42="","",NewTransaction!A42)</f>
        <v/>
      </c>
      <c r="B83" s="4" t="str">
        <f>IF(NewTransaction!A42="","",NewTransaction!B42)</f>
        <v/>
      </c>
      <c r="C83" s="4" t="str">
        <f>IF(NewTransaction!A42="","",NewTransaction!D42)</f>
        <v/>
      </c>
      <c r="D83" s="5" t="str">
        <f>IF(A83="","",0)</f>
        <v/>
      </c>
      <c r="E83" s="5" t="str">
        <f>IF(NewTransaction!A42="","",NewTransaction!E42)</f>
        <v/>
      </c>
    </row>
    <row r="84" spans="1:5" x14ac:dyDescent="0.35">
      <c r="A84" s="4" t="str">
        <f>IF(NewTransaction!A43="","",NewTransaction!A43)</f>
        <v/>
      </c>
      <c r="B84" s="4" t="str">
        <f>IF(NewTransaction!A43="","",NewTransaction!B43)</f>
        <v/>
      </c>
      <c r="C84" s="4" t="str">
        <f>IF(NewTransaction!A43="","",NewTransaction!C43)</f>
        <v/>
      </c>
      <c r="D84" s="5" t="str">
        <f>IF(NewTransaction!A43="","",NewTransaction!E43)</f>
        <v/>
      </c>
      <c r="E84" s="5" t="str">
        <f>IF(A84="","",0)</f>
        <v/>
      </c>
    </row>
    <row r="85" spans="1:5" x14ac:dyDescent="0.35">
      <c r="A85" s="4" t="str">
        <f>IF(NewTransaction!A43="","",NewTransaction!A43)</f>
        <v/>
      </c>
      <c r="B85" s="4" t="str">
        <f>IF(NewTransaction!A43="","",NewTransaction!B43)</f>
        <v/>
      </c>
      <c r="C85" s="4" t="str">
        <f>IF(NewTransaction!A43="","",NewTransaction!D43)</f>
        <v/>
      </c>
      <c r="D85" s="5" t="str">
        <f>IF(A85="","",0)</f>
        <v/>
      </c>
      <c r="E85" s="5" t="str">
        <f>IF(NewTransaction!A43="","",NewTransaction!E43)</f>
        <v/>
      </c>
    </row>
    <row r="86" spans="1:5" x14ac:dyDescent="0.35">
      <c r="A86" s="4" t="str">
        <f>IF(NewTransaction!A44="","",NewTransaction!A44)</f>
        <v/>
      </c>
      <c r="B86" s="4" t="str">
        <f>IF(NewTransaction!A44="","",NewTransaction!B44)</f>
        <v/>
      </c>
      <c r="C86" s="4" t="str">
        <f>IF(NewTransaction!A44="","",NewTransaction!C44)</f>
        <v/>
      </c>
      <c r="D86" s="5" t="str">
        <f>IF(NewTransaction!A44="","",NewTransaction!E44)</f>
        <v/>
      </c>
      <c r="E86" s="5" t="str">
        <f>IF(A86="","",0)</f>
        <v/>
      </c>
    </row>
    <row r="87" spans="1:5" x14ac:dyDescent="0.35">
      <c r="A87" s="4" t="str">
        <f>IF(NewTransaction!A44="","",NewTransaction!A44)</f>
        <v/>
      </c>
      <c r="B87" s="4" t="str">
        <f>IF(NewTransaction!A44="","",NewTransaction!B44)</f>
        <v/>
      </c>
      <c r="C87" s="4" t="str">
        <f>IF(NewTransaction!A44="","",NewTransaction!D44)</f>
        <v/>
      </c>
      <c r="D87" s="5" t="str">
        <f>IF(A87="","",0)</f>
        <v/>
      </c>
      <c r="E87" s="5" t="str">
        <f>IF(NewTransaction!A44="","",NewTransaction!E44)</f>
        <v/>
      </c>
    </row>
    <row r="88" spans="1:5" x14ac:dyDescent="0.35">
      <c r="A88" s="4" t="str">
        <f>IF(NewTransaction!A45="","",NewTransaction!A45)</f>
        <v/>
      </c>
      <c r="B88" s="4" t="str">
        <f>IF(NewTransaction!A45="","",NewTransaction!B45)</f>
        <v/>
      </c>
      <c r="C88" s="4" t="str">
        <f>IF(NewTransaction!A45="","",NewTransaction!C45)</f>
        <v/>
      </c>
      <c r="D88" s="5" t="str">
        <f>IF(NewTransaction!A45="","",NewTransaction!E45)</f>
        <v/>
      </c>
      <c r="E88" s="5" t="str">
        <f>IF(A88="","",0)</f>
        <v/>
      </c>
    </row>
    <row r="89" spans="1:5" x14ac:dyDescent="0.35">
      <c r="A89" s="4" t="str">
        <f>IF(NewTransaction!A45="","",NewTransaction!A45)</f>
        <v/>
      </c>
      <c r="B89" s="4" t="str">
        <f>IF(NewTransaction!A45="","",NewTransaction!B45)</f>
        <v/>
      </c>
      <c r="C89" s="4" t="str">
        <f>IF(NewTransaction!A45="","",NewTransaction!D45)</f>
        <v/>
      </c>
      <c r="D89" s="5" t="str">
        <f>IF(A89="","",0)</f>
        <v/>
      </c>
      <c r="E89" s="5" t="str">
        <f>IF(NewTransaction!A45="","",NewTransaction!E45)</f>
        <v/>
      </c>
    </row>
    <row r="90" spans="1:5" x14ac:dyDescent="0.35">
      <c r="A90" s="4" t="str">
        <f>IF(NewTransaction!A46="","",NewTransaction!A46)</f>
        <v/>
      </c>
      <c r="B90" s="4" t="str">
        <f>IF(NewTransaction!A46="","",NewTransaction!B46)</f>
        <v/>
      </c>
      <c r="C90" s="4" t="str">
        <f>IF(NewTransaction!A46="","",NewTransaction!C46)</f>
        <v/>
      </c>
      <c r="D90" s="5" t="str">
        <f>IF(NewTransaction!A46="","",NewTransaction!E46)</f>
        <v/>
      </c>
      <c r="E90" s="5" t="str">
        <f>IF(A90="","",0)</f>
        <v/>
      </c>
    </row>
    <row r="91" spans="1:5" x14ac:dyDescent="0.35">
      <c r="A91" s="4" t="str">
        <f>IF(NewTransaction!A46="","",NewTransaction!A46)</f>
        <v/>
      </c>
      <c r="B91" s="4" t="str">
        <f>IF(NewTransaction!A46="","",NewTransaction!B46)</f>
        <v/>
      </c>
      <c r="C91" s="4" t="str">
        <f>IF(NewTransaction!A46="","",NewTransaction!D46)</f>
        <v/>
      </c>
      <c r="D91" s="5" t="str">
        <f>IF(A91="","",0)</f>
        <v/>
      </c>
      <c r="E91" s="5" t="str">
        <f>IF(NewTransaction!A46="","",NewTransaction!E46)</f>
        <v/>
      </c>
    </row>
    <row r="92" spans="1:5" x14ac:dyDescent="0.35">
      <c r="A92" s="4" t="str">
        <f>IF(NewTransaction!A47="","",NewTransaction!A47)</f>
        <v/>
      </c>
      <c r="B92" s="4" t="str">
        <f>IF(NewTransaction!A47="","",NewTransaction!B47)</f>
        <v/>
      </c>
      <c r="C92" s="4" t="str">
        <f>IF(NewTransaction!A47="","",NewTransaction!C47)</f>
        <v/>
      </c>
      <c r="D92" s="5" t="str">
        <f>IF(NewTransaction!A47="","",NewTransaction!E47)</f>
        <v/>
      </c>
      <c r="E92" s="5" t="str">
        <f>IF(A92="","",0)</f>
        <v/>
      </c>
    </row>
    <row r="93" spans="1:5" x14ac:dyDescent="0.35">
      <c r="A93" s="4" t="str">
        <f>IF(NewTransaction!A47="","",NewTransaction!A47)</f>
        <v/>
      </c>
      <c r="B93" s="4" t="str">
        <f>IF(NewTransaction!A47="","",NewTransaction!B47)</f>
        <v/>
      </c>
      <c r="C93" s="4" t="str">
        <f>IF(NewTransaction!A47="","",NewTransaction!D47)</f>
        <v/>
      </c>
      <c r="D93" s="5" t="str">
        <f>IF(A93="","",0)</f>
        <v/>
      </c>
      <c r="E93" s="5" t="str">
        <f>IF(NewTransaction!A47="","",NewTransaction!E47)</f>
        <v/>
      </c>
    </row>
    <row r="94" spans="1:5" x14ac:dyDescent="0.35">
      <c r="A94" s="4" t="str">
        <f>IF(NewTransaction!A48="","",NewTransaction!A48)</f>
        <v/>
      </c>
      <c r="B94" s="4" t="str">
        <f>IF(NewTransaction!A48="","",NewTransaction!B48)</f>
        <v/>
      </c>
      <c r="C94" s="4" t="str">
        <f>IF(NewTransaction!A48="","",NewTransaction!C48)</f>
        <v/>
      </c>
      <c r="D94" s="5" t="str">
        <f>IF(NewTransaction!A48="","",NewTransaction!E48)</f>
        <v/>
      </c>
      <c r="E94" s="5" t="str">
        <f>IF(A94="","",0)</f>
        <v/>
      </c>
    </row>
    <row r="95" spans="1:5" x14ac:dyDescent="0.35">
      <c r="A95" s="4" t="str">
        <f>IF(NewTransaction!A48="","",NewTransaction!A48)</f>
        <v/>
      </c>
      <c r="B95" s="4" t="str">
        <f>IF(NewTransaction!A48="","",NewTransaction!B48)</f>
        <v/>
      </c>
      <c r="C95" s="4" t="str">
        <f>IF(NewTransaction!A48="","",NewTransaction!D48)</f>
        <v/>
      </c>
      <c r="D95" s="5" t="str">
        <f>IF(A95="","",0)</f>
        <v/>
      </c>
      <c r="E95" s="5" t="str">
        <f>IF(NewTransaction!A48="","",NewTransaction!E48)</f>
        <v/>
      </c>
    </row>
    <row r="96" spans="1:5" x14ac:dyDescent="0.35">
      <c r="A96" s="4" t="str">
        <f>IF(NewTransaction!A49="","",NewTransaction!A49)</f>
        <v/>
      </c>
      <c r="B96" s="4" t="str">
        <f>IF(NewTransaction!A49="","",NewTransaction!B49)</f>
        <v/>
      </c>
      <c r="C96" s="4" t="str">
        <f>IF(NewTransaction!A49="","",NewTransaction!C49)</f>
        <v/>
      </c>
      <c r="D96" s="5" t="str">
        <f>IF(NewTransaction!A49="","",NewTransaction!E49)</f>
        <v/>
      </c>
      <c r="E96" s="5" t="str">
        <f>IF(A96="","",0)</f>
        <v/>
      </c>
    </row>
    <row r="97" spans="1:5" x14ac:dyDescent="0.35">
      <c r="A97" s="4" t="str">
        <f>IF(NewTransaction!A49="","",NewTransaction!A49)</f>
        <v/>
      </c>
      <c r="B97" s="4" t="str">
        <f>IF(NewTransaction!A49="","",NewTransaction!B49)</f>
        <v/>
      </c>
      <c r="C97" s="4" t="str">
        <f>IF(NewTransaction!A49="","",NewTransaction!D49)</f>
        <v/>
      </c>
      <c r="D97" s="5" t="str">
        <f>IF(A97="","",0)</f>
        <v/>
      </c>
      <c r="E97" s="5" t="str">
        <f>IF(NewTransaction!A49="","",NewTransaction!E49)</f>
        <v/>
      </c>
    </row>
    <row r="98" spans="1:5" x14ac:dyDescent="0.35">
      <c r="A98" s="4" t="str">
        <f>IF(NewTransaction!A50="","",NewTransaction!A50)</f>
        <v/>
      </c>
      <c r="B98" s="4" t="str">
        <f>IF(NewTransaction!A50="","",NewTransaction!B50)</f>
        <v/>
      </c>
      <c r="C98" s="4" t="str">
        <f>IF(NewTransaction!A50="","",NewTransaction!C50)</f>
        <v/>
      </c>
      <c r="D98" s="5" t="str">
        <f>IF(NewTransaction!A50="","",NewTransaction!E50)</f>
        <v/>
      </c>
      <c r="E98" s="5" t="str">
        <f>IF(A98="","",0)</f>
        <v/>
      </c>
    </row>
    <row r="99" spans="1:5" x14ac:dyDescent="0.35">
      <c r="A99" s="4" t="str">
        <f>IF(NewTransaction!A50="","",NewTransaction!A50)</f>
        <v/>
      </c>
      <c r="B99" s="4" t="str">
        <f>IF(NewTransaction!A50="","",NewTransaction!B50)</f>
        <v/>
      </c>
      <c r="C99" s="4" t="str">
        <f>IF(NewTransaction!A50="","",NewTransaction!D50)</f>
        <v/>
      </c>
      <c r="D99" s="5" t="str">
        <f>IF(A99="","",0)</f>
        <v/>
      </c>
      <c r="E99" s="5" t="str">
        <f>IF(NewTransaction!A50="","",NewTransaction!E50)</f>
        <v/>
      </c>
    </row>
    <row r="100" spans="1:5" x14ac:dyDescent="0.35">
      <c r="A100" s="4" t="str">
        <f>IF(NewTransaction!A51="","",NewTransaction!A51)</f>
        <v/>
      </c>
      <c r="B100" s="4" t="str">
        <f>IF(NewTransaction!A51="","",NewTransaction!B51)</f>
        <v/>
      </c>
      <c r="C100" s="4" t="str">
        <f>IF(NewTransaction!A51="","",NewTransaction!C51)</f>
        <v/>
      </c>
      <c r="D100" s="5" t="str">
        <f>IF(NewTransaction!A51="","",NewTransaction!E51)</f>
        <v/>
      </c>
      <c r="E100" s="5" t="str">
        <f>IF(A100="","",0)</f>
        <v/>
      </c>
    </row>
    <row r="101" spans="1:5" x14ac:dyDescent="0.35">
      <c r="A101" s="4" t="str">
        <f>IF(NewTransaction!A51="","",NewTransaction!A51)</f>
        <v/>
      </c>
      <c r="B101" s="4" t="str">
        <f>IF(NewTransaction!A51="","",NewTransaction!B51)</f>
        <v/>
      </c>
      <c r="C101" s="4" t="str">
        <f>IF(NewTransaction!A51="","",NewTransaction!D51)</f>
        <v/>
      </c>
      <c r="D101" s="5" t="str">
        <f>IF(A101="","",0)</f>
        <v/>
      </c>
      <c r="E101" s="5" t="str">
        <f>IF(NewTransaction!A51="","",NewTransaction!E51)</f>
        <v/>
      </c>
    </row>
    <row r="102" spans="1:5" x14ac:dyDescent="0.35">
      <c r="A102" s="4" t="str">
        <f>IF(NewTransaction!A52="","",NewTransaction!A52)</f>
        <v/>
      </c>
      <c r="B102" s="4" t="str">
        <f>IF(NewTransaction!A52="","",NewTransaction!B52)</f>
        <v/>
      </c>
      <c r="C102" s="4" t="str">
        <f>IF(NewTransaction!A52="","",NewTransaction!C52)</f>
        <v/>
      </c>
      <c r="D102" s="5" t="str">
        <f>IF(NewTransaction!A52="","",NewTransaction!E52)</f>
        <v/>
      </c>
      <c r="E102" s="5" t="str">
        <f>IF(A102="","",0)</f>
        <v/>
      </c>
    </row>
    <row r="103" spans="1:5" x14ac:dyDescent="0.35">
      <c r="A103" s="4" t="str">
        <f>IF(NewTransaction!A52="","",NewTransaction!A52)</f>
        <v/>
      </c>
      <c r="B103" s="4" t="str">
        <f>IF(NewTransaction!A52="","",NewTransaction!B52)</f>
        <v/>
      </c>
      <c r="C103" s="4" t="str">
        <f>IF(NewTransaction!A52="","",NewTransaction!D52)</f>
        <v/>
      </c>
      <c r="D103" s="5" t="str">
        <f>IF(A103="","",0)</f>
        <v/>
      </c>
      <c r="E103" s="5" t="str">
        <f>IF(NewTransaction!A52="","",NewTransaction!E52)</f>
        <v/>
      </c>
    </row>
    <row r="104" spans="1:5" x14ac:dyDescent="0.35">
      <c r="A104" s="4" t="str">
        <f>IF(NewTransaction!A53="","",NewTransaction!A53)</f>
        <v/>
      </c>
      <c r="B104" s="4" t="str">
        <f>IF(NewTransaction!A53="","",NewTransaction!B53)</f>
        <v/>
      </c>
      <c r="C104" s="4" t="str">
        <f>IF(NewTransaction!A53="","",NewTransaction!C53)</f>
        <v/>
      </c>
      <c r="D104" s="5" t="str">
        <f>IF(NewTransaction!A53="","",NewTransaction!E53)</f>
        <v/>
      </c>
      <c r="E104" s="5" t="str">
        <f>IF(A104="","",0)</f>
        <v/>
      </c>
    </row>
    <row r="105" spans="1:5" x14ac:dyDescent="0.35">
      <c r="A105" s="4" t="str">
        <f>IF(NewTransaction!A53="","",NewTransaction!A53)</f>
        <v/>
      </c>
      <c r="B105" s="4" t="str">
        <f>IF(NewTransaction!A53="","",NewTransaction!B53)</f>
        <v/>
      </c>
      <c r="C105" s="4" t="str">
        <f>IF(NewTransaction!A53="","",NewTransaction!D53)</f>
        <v/>
      </c>
      <c r="D105" s="5" t="str">
        <f>IF(A105="","",0)</f>
        <v/>
      </c>
      <c r="E105" s="5" t="str">
        <f>IF(NewTransaction!A53="","",NewTransaction!E53)</f>
        <v/>
      </c>
    </row>
    <row r="106" spans="1:5" x14ac:dyDescent="0.35">
      <c r="A106" s="4" t="str">
        <f>IF(NewTransaction!A54="","",NewTransaction!A54)</f>
        <v/>
      </c>
      <c r="B106" s="4" t="str">
        <f>IF(NewTransaction!A54="","",NewTransaction!B54)</f>
        <v/>
      </c>
      <c r="C106" s="4" t="str">
        <f>IF(NewTransaction!A54="","",NewTransaction!C54)</f>
        <v/>
      </c>
      <c r="D106" s="5" t="str">
        <f>IF(NewTransaction!A54="","",NewTransaction!E54)</f>
        <v/>
      </c>
      <c r="E106" s="5" t="str">
        <f>IF(A106="","",0)</f>
        <v/>
      </c>
    </row>
    <row r="107" spans="1:5" x14ac:dyDescent="0.35">
      <c r="A107" s="4" t="str">
        <f>IF(NewTransaction!A54="","",NewTransaction!A54)</f>
        <v/>
      </c>
      <c r="B107" s="4" t="str">
        <f>IF(NewTransaction!A54="","",NewTransaction!B54)</f>
        <v/>
      </c>
      <c r="C107" s="4" t="str">
        <f>IF(NewTransaction!A54="","",NewTransaction!D54)</f>
        <v/>
      </c>
      <c r="D107" s="5" t="str">
        <f>IF(A107="","",0)</f>
        <v/>
      </c>
      <c r="E107" s="5" t="str">
        <f>IF(NewTransaction!A54="","",NewTransaction!E54)</f>
        <v/>
      </c>
    </row>
    <row r="108" spans="1:5" x14ac:dyDescent="0.35">
      <c r="A108" s="4" t="str">
        <f>IF(NewTransaction!A55="","",NewTransaction!A55)</f>
        <v/>
      </c>
      <c r="B108" s="4" t="str">
        <f>IF(NewTransaction!A55="","",NewTransaction!B55)</f>
        <v/>
      </c>
      <c r="C108" s="4" t="str">
        <f>IF(NewTransaction!A55="","",NewTransaction!C55)</f>
        <v/>
      </c>
      <c r="D108" s="5" t="str">
        <f>IF(NewTransaction!A55="","",NewTransaction!E55)</f>
        <v/>
      </c>
      <c r="E108" s="5" t="str">
        <f>IF(A108="","",0)</f>
        <v/>
      </c>
    </row>
    <row r="109" spans="1:5" x14ac:dyDescent="0.35">
      <c r="A109" s="4" t="str">
        <f>IF(NewTransaction!A55="","",NewTransaction!A55)</f>
        <v/>
      </c>
      <c r="B109" s="4" t="str">
        <f>IF(NewTransaction!A55="","",NewTransaction!B55)</f>
        <v/>
      </c>
      <c r="C109" s="4" t="str">
        <f>IF(NewTransaction!A55="","",NewTransaction!D55)</f>
        <v/>
      </c>
      <c r="D109" s="5" t="str">
        <f>IF(A109="","",0)</f>
        <v/>
      </c>
      <c r="E109" s="5" t="str">
        <f>IF(NewTransaction!A55="","",NewTransaction!E55)</f>
        <v/>
      </c>
    </row>
    <row r="110" spans="1:5" x14ac:dyDescent="0.35">
      <c r="A110" s="4" t="str">
        <f>IF(NewTransaction!A56="","",NewTransaction!A56)</f>
        <v/>
      </c>
      <c r="B110" s="4" t="str">
        <f>IF(NewTransaction!A56="","",NewTransaction!B56)</f>
        <v/>
      </c>
      <c r="C110" s="4" t="str">
        <f>IF(NewTransaction!A56="","",NewTransaction!C56)</f>
        <v/>
      </c>
      <c r="D110" s="5" t="str">
        <f>IF(NewTransaction!A56="","",NewTransaction!E56)</f>
        <v/>
      </c>
      <c r="E110" s="5" t="str">
        <f>IF(A110="","",0)</f>
        <v/>
      </c>
    </row>
    <row r="111" spans="1:5" x14ac:dyDescent="0.35">
      <c r="A111" s="4" t="str">
        <f>IF(NewTransaction!A56="","",NewTransaction!A56)</f>
        <v/>
      </c>
      <c r="B111" s="4" t="str">
        <f>IF(NewTransaction!A56="","",NewTransaction!B56)</f>
        <v/>
      </c>
      <c r="C111" s="4" t="str">
        <f>IF(NewTransaction!A56="","",NewTransaction!D56)</f>
        <v/>
      </c>
      <c r="D111" s="5" t="str">
        <f>IF(A111="","",0)</f>
        <v/>
      </c>
      <c r="E111" s="5" t="str">
        <f>IF(NewTransaction!A56="","",NewTransaction!E56)</f>
        <v/>
      </c>
    </row>
    <row r="112" spans="1:5" x14ac:dyDescent="0.35">
      <c r="A112" s="4" t="str">
        <f>IF(NewTransaction!A57="","",NewTransaction!A57)</f>
        <v/>
      </c>
      <c r="B112" s="4" t="str">
        <f>IF(NewTransaction!A57="","",NewTransaction!B57)</f>
        <v/>
      </c>
      <c r="C112" s="4" t="str">
        <f>IF(NewTransaction!A57="","",NewTransaction!C57)</f>
        <v/>
      </c>
      <c r="D112" s="5" t="str">
        <f>IF(NewTransaction!A57="","",NewTransaction!E57)</f>
        <v/>
      </c>
      <c r="E112" s="5" t="str">
        <f>IF(A112="","",0)</f>
        <v/>
      </c>
    </row>
    <row r="113" spans="1:5" x14ac:dyDescent="0.35">
      <c r="A113" s="4" t="str">
        <f>IF(NewTransaction!A57="","",NewTransaction!A57)</f>
        <v/>
      </c>
      <c r="B113" s="4" t="str">
        <f>IF(NewTransaction!A57="","",NewTransaction!B57)</f>
        <v/>
      </c>
      <c r="C113" s="4" t="str">
        <f>IF(NewTransaction!A57="","",NewTransaction!D57)</f>
        <v/>
      </c>
      <c r="D113" s="5" t="str">
        <f>IF(A113="","",0)</f>
        <v/>
      </c>
      <c r="E113" s="5" t="str">
        <f>IF(NewTransaction!A57="","",NewTransaction!E57)</f>
        <v/>
      </c>
    </row>
    <row r="114" spans="1:5" x14ac:dyDescent="0.35">
      <c r="A114" s="4" t="str">
        <f>IF(NewTransaction!A58="","",NewTransaction!A58)</f>
        <v/>
      </c>
      <c r="B114" s="4" t="str">
        <f>IF(NewTransaction!A58="","",NewTransaction!B58)</f>
        <v/>
      </c>
      <c r="C114" s="4" t="str">
        <f>IF(NewTransaction!A58="","",NewTransaction!C58)</f>
        <v/>
      </c>
      <c r="D114" s="5" t="str">
        <f>IF(NewTransaction!A58="","",NewTransaction!E58)</f>
        <v/>
      </c>
      <c r="E114" s="5" t="str">
        <f>IF(A114="","",0)</f>
        <v/>
      </c>
    </row>
    <row r="115" spans="1:5" x14ac:dyDescent="0.35">
      <c r="A115" s="4" t="str">
        <f>IF(NewTransaction!A58="","",NewTransaction!A58)</f>
        <v/>
      </c>
      <c r="B115" s="4" t="str">
        <f>IF(NewTransaction!A58="","",NewTransaction!B58)</f>
        <v/>
      </c>
      <c r="C115" s="4" t="str">
        <f>IF(NewTransaction!A58="","",NewTransaction!D58)</f>
        <v/>
      </c>
      <c r="D115" s="5" t="str">
        <f>IF(A115="","",0)</f>
        <v/>
      </c>
      <c r="E115" s="5" t="str">
        <f>IF(NewTransaction!A58="","",NewTransaction!E58)</f>
        <v/>
      </c>
    </row>
    <row r="116" spans="1:5" x14ac:dyDescent="0.35">
      <c r="A116" s="4" t="str">
        <f>IF(NewTransaction!A59="","",NewTransaction!A59)</f>
        <v/>
      </c>
      <c r="B116" s="4" t="str">
        <f>IF(NewTransaction!A59="","",NewTransaction!B59)</f>
        <v/>
      </c>
      <c r="C116" s="4" t="str">
        <f>IF(NewTransaction!A59="","",NewTransaction!C59)</f>
        <v/>
      </c>
      <c r="D116" s="5" t="str">
        <f>IF(NewTransaction!A59="","",NewTransaction!E59)</f>
        <v/>
      </c>
      <c r="E116" s="5" t="str">
        <f>IF(A116="","",0)</f>
        <v/>
      </c>
    </row>
    <row r="117" spans="1:5" x14ac:dyDescent="0.35">
      <c r="A117" s="4" t="str">
        <f>IF(NewTransaction!A59="","",NewTransaction!A59)</f>
        <v/>
      </c>
      <c r="B117" s="4" t="str">
        <f>IF(NewTransaction!A59="","",NewTransaction!B59)</f>
        <v/>
      </c>
      <c r="C117" s="4" t="str">
        <f>IF(NewTransaction!A59="","",NewTransaction!D59)</f>
        <v/>
      </c>
      <c r="D117" s="5" t="str">
        <f>IF(A117="","",0)</f>
        <v/>
      </c>
      <c r="E117" s="5" t="str">
        <f>IF(NewTransaction!A59="","",NewTransaction!E59)</f>
        <v/>
      </c>
    </row>
    <row r="118" spans="1:5" x14ac:dyDescent="0.35">
      <c r="A118" s="4" t="str">
        <f>IF(NewTransaction!A60="","",NewTransaction!A60)</f>
        <v/>
      </c>
      <c r="B118" s="4" t="str">
        <f>IF(NewTransaction!A60="","",NewTransaction!B60)</f>
        <v/>
      </c>
      <c r="C118" s="4" t="str">
        <f>IF(NewTransaction!A60="","",NewTransaction!C60)</f>
        <v/>
      </c>
      <c r="D118" s="5" t="str">
        <f>IF(NewTransaction!A60="","",NewTransaction!E60)</f>
        <v/>
      </c>
      <c r="E118" s="5" t="str">
        <f>IF(A118="","",0)</f>
        <v/>
      </c>
    </row>
    <row r="119" spans="1:5" x14ac:dyDescent="0.35">
      <c r="A119" s="4" t="str">
        <f>IF(NewTransaction!A60="","",NewTransaction!A60)</f>
        <v/>
      </c>
      <c r="B119" s="4" t="str">
        <f>IF(NewTransaction!A60="","",NewTransaction!B60)</f>
        <v/>
      </c>
      <c r="C119" s="4" t="str">
        <f>IF(NewTransaction!A60="","",NewTransaction!D60)</f>
        <v/>
      </c>
      <c r="D119" s="5" t="str">
        <f>IF(A119="","",0)</f>
        <v/>
      </c>
      <c r="E119" s="5" t="str">
        <f>IF(NewTransaction!A60="","",NewTransaction!E60)</f>
        <v/>
      </c>
    </row>
    <row r="120" spans="1:5" x14ac:dyDescent="0.35">
      <c r="A120" s="4" t="str">
        <f>IF(NewTransaction!A61="","",NewTransaction!A61)</f>
        <v/>
      </c>
      <c r="B120" s="4" t="str">
        <f>IF(NewTransaction!A61="","",NewTransaction!B61)</f>
        <v/>
      </c>
      <c r="C120" s="4" t="str">
        <f>IF(NewTransaction!A61="","",NewTransaction!C61)</f>
        <v/>
      </c>
      <c r="D120" s="5" t="str">
        <f>IF(NewTransaction!A61="","",NewTransaction!E61)</f>
        <v/>
      </c>
      <c r="E120" s="5" t="str">
        <f>IF(A120="","",0)</f>
        <v/>
      </c>
    </row>
    <row r="121" spans="1:5" x14ac:dyDescent="0.35">
      <c r="A121" s="4" t="str">
        <f>IF(NewTransaction!A61="","",NewTransaction!A61)</f>
        <v/>
      </c>
      <c r="B121" s="4" t="str">
        <f>IF(NewTransaction!A61="","",NewTransaction!B61)</f>
        <v/>
      </c>
      <c r="C121" s="4" t="str">
        <f>IF(NewTransaction!A61="","",NewTransaction!D61)</f>
        <v/>
      </c>
      <c r="D121" s="5" t="str">
        <f>IF(A121="","",0)</f>
        <v/>
      </c>
      <c r="E121" s="5" t="str">
        <f>IF(NewTransaction!A61="","",NewTransaction!E61)</f>
        <v/>
      </c>
    </row>
    <row r="122" spans="1:5" x14ac:dyDescent="0.35">
      <c r="A122" s="4" t="str">
        <f>IF(NewTransaction!A62="","",NewTransaction!A62)</f>
        <v/>
      </c>
      <c r="B122" s="4" t="str">
        <f>IF(NewTransaction!A62="","",NewTransaction!B62)</f>
        <v/>
      </c>
      <c r="C122" s="4" t="str">
        <f>IF(NewTransaction!A62="","",NewTransaction!C62)</f>
        <v/>
      </c>
      <c r="D122" s="5" t="str">
        <f>IF(NewTransaction!A62="","",NewTransaction!E62)</f>
        <v/>
      </c>
      <c r="E122" s="5" t="str">
        <f>IF(A122="","",0)</f>
        <v/>
      </c>
    </row>
    <row r="123" spans="1:5" x14ac:dyDescent="0.35">
      <c r="A123" s="4" t="str">
        <f>IF(NewTransaction!A62="","",NewTransaction!A62)</f>
        <v/>
      </c>
      <c r="B123" s="4" t="str">
        <f>IF(NewTransaction!A62="","",NewTransaction!B62)</f>
        <v/>
      </c>
      <c r="C123" s="4" t="str">
        <f>IF(NewTransaction!A62="","",NewTransaction!D62)</f>
        <v/>
      </c>
      <c r="D123" s="5" t="str">
        <f>IF(A123="","",0)</f>
        <v/>
      </c>
      <c r="E123" s="5" t="str">
        <f>IF(NewTransaction!A62="","",NewTransaction!E62)</f>
        <v/>
      </c>
    </row>
    <row r="124" spans="1:5" x14ac:dyDescent="0.35">
      <c r="A124" s="4" t="str">
        <f>IF(NewTransaction!A63="","",NewTransaction!A63)</f>
        <v/>
      </c>
      <c r="B124" s="4" t="str">
        <f>IF(NewTransaction!A63="","",NewTransaction!B63)</f>
        <v/>
      </c>
      <c r="C124" s="4" t="str">
        <f>IF(NewTransaction!A63="","",NewTransaction!C63)</f>
        <v/>
      </c>
      <c r="D124" s="5" t="str">
        <f>IF(NewTransaction!A63="","",NewTransaction!E63)</f>
        <v/>
      </c>
      <c r="E124" s="5" t="str">
        <f>IF(A124="","",0)</f>
        <v/>
      </c>
    </row>
    <row r="125" spans="1:5" x14ac:dyDescent="0.35">
      <c r="A125" s="4" t="str">
        <f>IF(NewTransaction!A63="","",NewTransaction!A63)</f>
        <v/>
      </c>
      <c r="B125" s="4" t="str">
        <f>IF(NewTransaction!A63="","",NewTransaction!B63)</f>
        <v/>
      </c>
      <c r="C125" s="4" t="str">
        <f>IF(NewTransaction!A63="","",NewTransaction!D63)</f>
        <v/>
      </c>
      <c r="D125" s="5" t="str">
        <f>IF(A125="","",0)</f>
        <v/>
      </c>
      <c r="E125" s="5" t="str">
        <f>IF(NewTransaction!A63="","",NewTransaction!E63)</f>
        <v/>
      </c>
    </row>
    <row r="126" spans="1:5" x14ac:dyDescent="0.35">
      <c r="A126" s="4" t="str">
        <f>IF(NewTransaction!A64="","",NewTransaction!A64)</f>
        <v/>
      </c>
      <c r="B126" s="4" t="str">
        <f>IF(NewTransaction!A64="","",NewTransaction!B64)</f>
        <v/>
      </c>
      <c r="C126" s="4" t="str">
        <f>IF(NewTransaction!A64="","",NewTransaction!C64)</f>
        <v/>
      </c>
      <c r="D126" s="5" t="str">
        <f>IF(NewTransaction!A64="","",NewTransaction!E64)</f>
        <v/>
      </c>
      <c r="E126" s="5" t="str">
        <f>IF(A126="","",0)</f>
        <v/>
      </c>
    </row>
    <row r="127" spans="1:5" x14ac:dyDescent="0.35">
      <c r="A127" s="4" t="str">
        <f>IF(NewTransaction!A64="","",NewTransaction!A64)</f>
        <v/>
      </c>
      <c r="B127" s="4" t="str">
        <f>IF(NewTransaction!A64="","",NewTransaction!B64)</f>
        <v/>
      </c>
      <c r="C127" s="4" t="str">
        <f>IF(NewTransaction!A64="","",NewTransaction!D64)</f>
        <v/>
      </c>
      <c r="D127" s="5" t="str">
        <f>IF(A127="","",0)</f>
        <v/>
      </c>
      <c r="E127" s="5" t="str">
        <f>IF(NewTransaction!A64="","",NewTransaction!E64)</f>
        <v/>
      </c>
    </row>
    <row r="128" spans="1:5" x14ac:dyDescent="0.35">
      <c r="A128" s="4" t="str">
        <f>IF(NewTransaction!A65="","",NewTransaction!A65)</f>
        <v/>
      </c>
      <c r="B128" s="4" t="str">
        <f>IF(NewTransaction!A65="","",NewTransaction!B65)</f>
        <v/>
      </c>
      <c r="C128" s="4" t="str">
        <f>IF(NewTransaction!A65="","",NewTransaction!C65)</f>
        <v/>
      </c>
      <c r="D128" s="5" t="str">
        <f>IF(NewTransaction!A65="","",NewTransaction!E65)</f>
        <v/>
      </c>
      <c r="E128" s="5" t="str">
        <f>IF(A128="","",0)</f>
        <v/>
      </c>
    </row>
    <row r="129" spans="1:5" x14ac:dyDescent="0.35">
      <c r="A129" s="4" t="str">
        <f>IF(NewTransaction!A65="","",NewTransaction!A65)</f>
        <v/>
      </c>
      <c r="B129" s="4" t="str">
        <f>IF(NewTransaction!A65="","",NewTransaction!B65)</f>
        <v/>
      </c>
      <c r="C129" s="4" t="str">
        <f>IF(NewTransaction!A65="","",NewTransaction!D65)</f>
        <v/>
      </c>
      <c r="D129" s="5" t="str">
        <f>IF(A129="","",0)</f>
        <v/>
      </c>
      <c r="E129" s="5" t="str">
        <f>IF(NewTransaction!A65="","",NewTransaction!E65)</f>
        <v/>
      </c>
    </row>
    <row r="130" spans="1:5" x14ac:dyDescent="0.35">
      <c r="A130" s="4" t="str">
        <f>IF(NewTransaction!A66="","",NewTransaction!A66)</f>
        <v/>
      </c>
      <c r="B130" s="4" t="str">
        <f>IF(NewTransaction!A66="","",NewTransaction!B66)</f>
        <v/>
      </c>
      <c r="C130" s="4" t="str">
        <f>IF(NewTransaction!A66="","",NewTransaction!C66)</f>
        <v/>
      </c>
      <c r="D130" s="5" t="str">
        <f>IF(NewTransaction!A66="","",NewTransaction!E66)</f>
        <v/>
      </c>
      <c r="E130" s="5" t="str">
        <f>IF(A130="","",0)</f>
        <v/>
      </c>
    </row>
    <row r="131" spans="1:5" x14ac:dyDescent="0.35">
      <c r="A131" s="4" t="str">
        <f>IF(NewTransaction!A66="","",NewTransaction!A66)</f>
        <v/>
      </c>
      <c r="B131" s="4" t="str">
        <f>IF(NewTransaction!A66="","",NewTransaction!B66)</f>
        <v/>
      </c>
      <c r="C131" s="4" t="str">
        <f>IF(NewTransaction!A66="","",NewTransaction!D66)</f>
        <v/>
      </c>
      <c r="D131" s="5" t="str">
        <f>IF(A131="","",0)</f>
        <v/>
      </c>
      <c r="E131" s="5" t="str">
        <f>IF(NewTransaction!A66="","",NewTransaction!E66)</f>
        <v/>
      </c>
    </row>
    <row r="132" spans="1:5" x14ac:dyDescent="0.35">
      <c r="A132" s="4" t="str">
        <f>IF(NewTransaction!A67="","",NewTransaction!A67)</f>
        <v/>
      </c>
      <c r="B132" s="4" t="str">
        <f>IF(NewTransaction!A67="","",NewTransaction!B67)</f>
        <v/>
      </c>
      <c r="C132" s="4" t="str">
        <f>IF(NewTransaction!A67="","",NewTransaction!C67)</f>
        <v/>
      </c>
      <c r="D132" s="5" t="str">
        <f>IF(NewTransaction!A67="","",NewTransaction!E67)</f>
        <v/>
      </c>
      <c r="E132" s="5" t="str">
        <f>IF(A132="","",0)</f>
        <v/>
      </c>
    </row>
    <row r="133" spans="1:5" x14ac:dyDescent="0.35">
      <c r="A133" s="4" t="str">
        <f>IF(NewTransaction!A67="","",NewTransaction!A67)</f>
        <v/>
      </c>
      <c r="B133" s="4" t="str">
        <f>IF(NewTransaction!A67="","",NewTransaction!B67)</f>
        <v/>
      </c>
      <c r="C133" s="4" t="str">
        <f>IF(NewTransaction!A67="","",NewTransaction!D67)</f>
        <v/>
      </c>
      <c r="D133" s="5" t="str">
        <f>IF(A133="","",0)</f>
        <v/>
      </c>
      <c r="E133" s="5" t="str">
        <f>IF(NewTransaction!A67="","",NewTransaction!E67)</f>
        <v/>
      </c>
    </row>
    <row r="134" spans="1:5" x14ac:dyDescent="0.35">
      <c r="A134" s="4" t="str">
        <f>IF(NewTransaction!A68="","",NewTransaction!A68)</f>
        <v/>
      </c>
      <c r="B134" s="4" t="str">
        <f>IF(NewTransaction!A68="","",NewTransaction!B68)</f>
        <v/>
      </c>
      <c r="C134" s="4" t="str">
        <f>IF(NewTransaction!A68="","",NewTransaction!C68)</f>
        <v/>
      </c>
      <c r="D134" s="5" t="str">
        <f>IF(NewTransaction!A68="","",NewTransaction!E68)</f>
        <v/>
      </c>
      <c r="E134" s="5" t="str">
        <f>IF(A134="","",0)</f>
        <v/>
      </c>
    </row>
    <row r="135" spans="1:5" x14ac:dyDescent="0.35">
      <c r="A135" s="4" t="str">
        <f>IF(NewTransaction!A68="","",NewTransaction!A68)</f>
        <v/>
      </c>
      <c r="B135" s="4" t="str">
        <f>IF(NewTransaction!A68="","",NewTransaction!B68)</f>
        <v/>
      </c>
      <c r="C135" s="4" t="str">
        <f>IF(NewTransaction!A68="","",NewTransaction!D68)</f>
        <v/>
      </c>
      <c r="D135" s="5" t="str">
        <f>IF(A135="","",0)</f>
        <v/>
      </c>
      <c r="E135" s="5" t="str">
        <f>IF(NewTransaction!A68="","",NewTransaction!E68)</f>
        <v/>
      </c>
    </row>
    <row r="136" spans="1:5" x14ac:dyDescent="0.35">
      <c r="A136" s="4" t="str">
        <f>IF(NewTransaction!A69="","",NewTransaction!A69)</f>
        <v/>
      </c>
      <c r="B136" s="4" t="str">
        <f>IF(NewTransaction!A69="","",NewTransaction!B69)</f>
        <v/>
      </c>
      <c r="C136" s="4" t="str">
        <f>IF(NewTransaction!A69="","",NewTransaction!C69)</f>
        <v/>
      </c>
      <c r="D136" s="5" t="str">
        <f>IF(NewTransaction!A69="","",NewTransaction!E69)</f>
        <v/>
      </c>
      <c r="E136" s="5" t="str">
        <f>IF(A136="","",0)</f>
        <v/>
      </c>
    </row>
    <row r="137" spans="1:5" x14ac:dyDescent="0.35">
      <c r="A137" s="4" t="str">
        <f>IF(NewTransaction!A69="","",NewTransaction!A69)</f>
        <v/>
      </c>
      <c r="B137" s="4" t="str">
        <f>IF(NewTransaction!A69="","",NewTransaction!B69)</f>
        <v/>
      </c>
      <c r="C137" s="4" t="str">
        <f>IF(NewTransaction!A69="","",NewTransaction!D69)</f>
        <v/>
      </c>
      <c r="D137" s="5" t="str">
        <f>IF(A137="","",0)</f>
        <v/>
      </c>
      <c r="E137" s="5" t="str">
        <f>IF(NewTransaction!A69="","",NewTransaction!E69)</f>
        <v/>
      </c>
    </row>
    <row r="138" spans="1:5" x14ac:dyDescent="0.35">
      <c r="A138" s="4" t="str">
        <f>IF(NewTransaction!A70="","",NewTransaction!A70)</f>
        <v/>
      </c>
      <c r="B138" s="4" t="str">
        <f>IF(NewTransaction!A70="","",NewTransaction!B70)</f>
        <v/>
      </c>
      <c r="C138" s="4" t="str">
        <f>IF(NewTransaction!A70="","",NewTransaction!C70)</f>
        <v/>
      </c>
      <c r="D138" s="5" t="str">
        <f>IF(NewTransaction!A70="","",NewTransaction!E70)</f>
        <v/>
      </c>
      <c r="E138" s="5" t="str">
        <f>IF(A138="","",0)</f>
        <v/>
      </c>
    </row>
    <row r="139" spans="1:5" x14ac:dyDescent="0.35">
      <c r="A139" s="4" t="str">
        <f>IF(NewTransaction!A70="","",NewTransaction!A70)</f>
        <v/>
      </c>
      <c r="B139" s="4" t="str">
        <f>IF(NewTransaction!A70="","",NewTransaction!B70)</f>
        <v/>
      </c>
      <c r="C139" s="4" t="str">
        <f>IF(NewTransaction!A70="","",NewTransaction!D70)</f>
        <v/>
      </c>
      <c r="D139" s="5" t="str">
        <f>IF(A139="","",0)</f>
        <v/>
      </c>
      <c r="E139" s="5" t="str">
        <f>IF(NewTransaction!A70="","",NewTransaction!E70)</f>
        <v/>
      </c>
    </row>
    <row r="140" spans="1:5" x14ac:dyDescent="0.35">
      <c r="A140" s="4" t="str">
        <f>IF(NewTransaction!A71="","",NewTransaction!A71)</f>
        <v/>
      </c>
      <c r="B140" s="4" t="str">
        <f>IF(NewTransaction!A71="","",NewTransaction!B71)</f>
        <v/>
      </c>
      <c r="C140" s="4" t="str">
        <f>IF(NewTransaction!A71="","",NewTransaction!C71)</f>
        <v/>
      </c>
      <c r="D140" s="5" t="str">
        <f>IF(NewTransaction!A71="","",NewTransaction!E71)</f>
        <v/>
      </c>
      <c r="E140" s="5" t="str">
        <f>IF(A140="","",0)</f>
        <v/>
      </c>
    </row>
    <row r="141" spans="1:5" x14ac:dyDescent="0.35">
      <c r="A141" s="4" t="str">
        <f>IF(NewTransaction!A71="","",NewTransaction!A71)</f>
        <v/>
      </c>
      <c r="B141" s="4" t="str">
        <f>IF(NewTransaction!A71="","",NewTransaction!B71)</f>
        <v/>
      </c>
      <c r="C141" s="4" t="str">
        <f>IF(NewTransaction!A71="","",NewTransaction!D71)</f>
        <v/>
      </c>
      <c r="D141" s="5" t="str">
        <f>IF(A141="","",0)</f>
        <v/>
      </c>
      <c r="E141" s="5" t="str">
        <f>IF(NewTransaction!A71="","",NewTransaction!E71)</f>
        <v/>
      </c>
    </row>
    <row r="142" spans="1:5" x14ac:dyDescent="0.35">
      <c r="A142" s="4" t="str">
        <f>IF(NewTransaction!A72="","",NewTransaction!A72)</f>
        <v/>
      </c>
      <c r="B142" s="4" t="str">
        <f>IF(NewTransaction!A72="","",NewTransaction!B72)</f>
        <v/>
      </c>
      <c r="C142" s="4" t="str">
        <f>IF(NewTransaction!A72="","",NewTransaction!C72)</f>
        <v/>
      </c>
      <c r="D142" s="5" t="str">
        <f>IF(NewTransaction!A72="","",NewTransaction!E72)</f>
        <v/>
      </c>
      <c r="E142" s="5" t="str">
        <f>IF(A142="","",0)</f>
        <v/>
      </c>
    </row>
    <row r="143" spans="1:5" x14ac:dyDescent="0.35">
      <c r="A143" s="4" t="str">
        <f>IF(NewTransaction!A72="","",NewTransaction!A72)</f>
        <v/>
      </c>
      <c r="B143" s="4" t="str">
        <f>IF(NewTransaction!A72="","",NewTransaction!B72)</f>
        <v/>
      </c>
      <c r="C143" s="4" t="str">
        <f>IF(NewTransaction!A72="","",NewTransaction!D72)</f>
        <v/>
      </c>
      <c r="D143" s="5" t="str">
        <f>IF(A143="","",0)</f>
        <v/>
      </c>
      <c r="E143" s="5" t="str">
        <f>IF(NewTransaction!A72="","",NewTransaction!E72)</f>
        <v/>
      </c>
    </row>
    <row r="144" spans="1:5" x14ac:dyDescent="0.35">
      <c r="A144" s="4" t="str">
        <f>IF(NewTransaction!A73="","",NewTransaction!A73)</f>
        <v/>
      </c>
      <c r="B144" s="4" t="str">
        <f>IF(NewTransaction!A73="","",NewTransaction!B73)</f>
        <v/>
      </c>
      <c r="C144" s="4" t="str">
        <f>IF(NewTransaction!A73="","",NewTransaction!C73)</f>
        <v/>
      </c>
      <c r="D144" s="5" t="str">
        <f>IF(NewTransaction!A73="","",NewTransaction!E73)</f>
        <v/>
      </c>
      <c r="E144" s="5" t="str">
        <f>IF(A144="","",0)</f>
        <v/>
      </c>
    </row>
    <row r="145" spans="1:5" x14ac:dyDescent="0.35">
      <c r="A145" s="4" t="str">
        <f>IF(NewTransaction!A73="","",NewTransaction!A73)</f>
        <v/>
      </c>
      <c r="B145" s="4" t="str">
        <f>IF(NewTransaction!A73="","",NewTransaction!B73)</f>
        <v/>
      </c>
      <c r="C145" s="4" t="str">
        <f>IF(NewTransaction!A73="","",NewTransaction!D73)</f>
        <v/>
      </c>
      <c r="D145" s="5" t="str">
        <f>IF(A145="","",0)</f>
        <v/>
      </c>
      <c r="E145" s="5" t="str">
        <f>IF(NewTransaction!A73="","",NewTransaction!E73)</f>
        <v/>
      </c>
    </row>
    <row r="146" spans="1:5" x14ac:dyDescent="0.35">
      <c r="A146" s="4" t="str">
        <f>IF(NewTransaction!A74="","",NewTransaction!A74)</f>
        <v/>
      </c>
      <c r="B146" s="4" t="str">
        <f>IF(NewTransaction!A74="","",NewTransaction!B74)</f>
        <v/>
      </c>
      <c r="C146" s="4" t="str">
        <f>IF(NewTransaction!A74="","",NewTransaction!C74)</f>
        <v/>
      </c>
      <c r="D146" s="5" t="str">
        <f>IF(NewTransaction!A74="","",NewTransaction!E74)</f>
        <v/>
      </c>
      <c r="E146" s="5" t="str">
        <f>IF(A146="","",0)</f>
        <v/>
      </c>
    </row>
    <row r="147" spans="1:5" x14ac:dyDescent="0.35">
      <c r="A147" s="4" t="str">
        <f>IF(NewTransaction!A74="","",NewTransaction!A74)</f>
        <v/>
      </c>
      <c r="B147" s="4" t="str">
        <f>IF(NewTransaction!A74="","",NewTransaction!B74)</f>
        <v/>
      </c>
      <c r="C147" s="4" t="str">
        <f>IF(NewTransaction!A74="","",NewTransaction!D74)</f>
        <v/>
      </c>
      <c r="D147" s="5" t="str">
        <f>IF(A147="","",0)</f>
        <v/>
      </c>
      <c r="E147" s="5" t="str">
        <f>IF(NewTransaction!A74="","",NewTransaction!E74)</f>
        <v/>
      </c>
    </row>
    <row r="148" spans="1:5" x14ac:dyDescent="0.35">
      <c r="A148" s="4" t="str">
        <f>IF(NewTransaction!A75="","",NewTransaction!A75)</f>
        <v/>
      </c>
      <c r="B148" s="4" t="str">
        <f>IF(NewTransaction!A75="","",NewTransaction!B75)</f>
        <v/>
      </c>
      <c r="C148" s="4" t="str">
        <f>IF(NewTransaction!A75="","",NewTransaction!C75)</f>
        <v/>
      </c>
      <c r="D148" s="5" t="str">
        <f>IF(NewTransaction!A75="","",NewTransaction!E75)</f>
        <v/>
      </c>
      <c r="E148" s="5" t="str">
        <f>IF(A148="","",0)</f>
        <v/>
      </c>
    </row>
    <row r="149" spans="1:5" x14ac:dyDescent="0.35">
      <c r="A149" s="4" t="str">
        <f>IF(NewTransaction!A75="","",NewTransaction!A75)</f>
        <v/>
      </c>
      <c r="B149" s="4" t="str">
        <f>IF(NewTransaction!A75="","",NewTransaction!B75)</f>
        <v/>
      </c>
      <c r="C149" s="4" t="str">
        <f>IF(NewTransaction!A75="","",NewTransaction!D75)</f>
        <v/>
      </c>
      <c r="D149" s="5" t="str">
        <f>IF(A149="","",0)</f>
        <v/>
      </c>
      <c r="E149" s="5" t="str">
        <f>IF(NewTransaction!A75="","",NewTransaction!E75)</f>
        <v/>
      </c>
    </row>
    <row r="150" spans="1:5" x14ac:dyDescent="0.35">
      <c r="A150" s="4" t="str">
        <f>IF(NewTransaction!A76="","",NewTransaction!A76)</f>
        <v/>
      </c>
      <c r="B150" s="4" t="str">
        <f>IF(NewTransaction!A76="","",NewTransaction!B76)</f>
        <v/>
      </c>
      <c r="C150" s="4" t="str">
        <f>IF(NewTransaction!A76="","",NewTransaction!C76)</f>
        <v/>
      </c>
      <c r="D150" s="5" t="str">
        <f>IF(NewTransaction!A76="","",NewTransaction!E76)</f>
        <v/>
      </c>
      <c r="E150" s="5" t="str">
        <f>IF(A150="","",0)</f>
        <v/>
      </c>
    </row>
    <row r="151" spans="1:5" x14ac:dyDescent="0.35">
      <c r="A151" s="4" t="str">
        <f>IF(NewTransaction!A76="","",NewTransaction!A76)</f>
        <v/>
      </c>
      <c r="B151" s="4" t="str">
        <f>IF(NewTransaction!A76="","",NewTransaction!B76)</f>
        <v/>
      </c>
      <c r="C151" s="4" t="str">
        <f>IF(NewTransaction!A76="","",NewTransaction!D76)</f>
        <v/>
      </c>
      <c r="D151" s="5" t="str">
        <f>IF(A151="","",0)</f>
        <v/>
      </c>
      <c r="E151" s="5" t="str">
        <f>IF(NewTransaction!A76="","",NewTransaction!E76)</f>
        <v/>
      </c>
    </row>
    <row r="152" spans="1:5" x14ac:dyDescent="0.35">
      <c r="A152" s="4" t="str">
        <f>IF(NewTransaction!A77="","",NewTransaction!A77)</f>
        <v/>
      </c>
      <c r="B152" s="4" t="str">
        <f>IF(NewTransaction!A77="","",NewTransaction!B77)</f>
        <v/>
      </c>
      <c r="C152" s="4" t="str">
        <f>IF(NewTransaction!A77="","",NewTransaction!C77)</f>
        <v/>
      </c>
      <c r="D152" s="5" t="str">
        <f>IF(NewTransaction!A77="","",NewTransaction!E77)</f>
        <v/>
      </c>
      <c r="E152" s="5" t="str">
        <f>IF(A152="","",0)</f>
        <v/>
      </c>
    </row>
    <row r="153" spans="1:5" x14ac:dyDescent="0.35">
      <c r="A153" s="4" t="str">
        <f>IF(NewTransaction!A77="","",NewTransaction!A77)</f>
        <v/>
      </c>
      <c r="B153" s="4" t="str">
        <f>IF(NewTransaction!A77="","",NewTransaction!B77)</f>
        <v/>
      </c>
      <c r="C153" s="4" t="str">
        <f>IF(NewTransaction!A77="","",NewTransaction!D77)</f>
        <v/>
      </c>
      <c r="D153" s="5" t="str">
        <f>IF(A153="","",0)</f>
        <v/>
      </c>
      <c r="E153" s="5" t="str">
        <f>IF(NewTransaction!A77="","",NewTransaction!E77)</f>
        <v/>
      </c>
    </row>
    <row r="154" spans="1:5" x14ac:dyDescent="0.35">
      <c r="A154" s="4" t="str">
        <f>IF(NewTransaction!A78="","",NewTransaction!A78)</f>
        <v/>
      </c>
      <c r="B154" s="4" t="str">
        <f>IF(NewTransaction!A78="","",NewTransaction!B78)</f>
        <v/>
      </c>
      <c r="C154" s="4" t="str">
        <f>IF(NewTransaction!A78="","",NewTransaction!C78)</f>
        <v/>
      </c>
      <c r="D154" s="5" t="str">
        <f>IF(NewTransaction!A78="","",NewTransaction!E78)</f>
        <v/>
      </c>
      <c r="E154" s="5" t="str">
        <f>IF(A154="","",0)</f>
        <v/>
      </c>
    </row>
    <row r="155" spans="1:5" x14ac:dyDescent="0.35">
      <c r="A155" s="4" t="str">
        <f>IF(NewTransaction!A78="","",NewTransaction!A78)</f>
        <v/>
      </c>
      <c r="B155" s="4" t="str">
        <f>IF(NewTransaction!A78="","",NewTransaction!B78)</f>
        <v/>
      </c>
      <c r="C155" s="4" t="str">
        <f>IF(NewTransaction!A78="","",NewTransaction!D78)</f>
        <v/>
      </c>
      <c r="D155" s="5" t="str">
        <f>IF(A155="","",0)</f>
        <v/>
      </c>
      <c r="E155" s="5" t="str">
        <f>IF(NewTransaction!A78="","",NewTransaction!E78)</f>
        <v/>
      </c>
    </row>
    <row r="156" spans="1:5" x14ac:dyDescent="0.35">
      <c r="A156" s="4" t="str">
        <f>IF(NewTransaction!A79="","",NewTransaction!A79)</f>
        <v/>
      </c>
      <c r="B156" s="4" t="str">
        <f>IF(NewTransaction!A79="","",NewTransaction!B79)</f>
        <v/>
      </c>
      <c r="C156" s="4" t="str">
        <f>IF(NewTransaction!A79="","",NewTransaction!C79)</f>
        <v/>
      </c>
      <c r="D156" s="5" t="str">
        <f>IF(NewTransaction!A79="","",NewTransaction!E79)</f>
        <v/>
      </c>
      <c r="E156" s="5" t="str">
        <f>IF(A156="","",0)</f>
        <v/>
      </c>
    </row>
    <row r="157" spans="1:5" x14ac:dyDescent="0.35">
      <c r="A157" s="4" t="str">
        <f>IF(NewTransaction!A79="","",NewTransaction!A79)</f>
        <v/>
      </c>
      <c r="B157" s="4" t="str">
        <f>IF(NewTransaction!A79="","",NewTransaction!B79)</f>
        <v/>
      </c>
      <c r="C157" s="4" t="str">
        <f>IF(NewTransaction!A79="","",NewTransaction!D79)</f>
        <v/>
      </c>
      <c r="D157" s="5" t="str">
        <f>IF(A157="","",0)</f>
        <v/>
      </c>
      <c r="E157" s="5" t="str">
        <f>IF(NewTransaction!A79="","",NewTransaction!E79)</f>
        <v/>
      </c>
    </row>
    <row r="158" spans="1:5" x14ac:dyDescent="0.35">
      <c r="A158" s="4" t="str">
        <f>IF(NewTransaction!A80="","",NewTransaction!A80)</f>
        <v/>
      </c>
      <c r="B158" s="4" t="str">
        <f>IF(NewTransaction!A80="","",NewTransaction!B80)</f>
        <v/>
      </c>
      <c r="C158" s="4" t="str">
        <f>IF(NewTransaction!A80="","",NewTransaction!C80)</f>
        <v/>
      </c>
      <c r="D158" s="5" t="str">
        <f>IF(NewTransaction!A80="","",NewTransaction!E80)</f>
        <v/>
      </c>
      <c r="E158" s="5" t="str">
        <f>IF(A158="","",0)</f>
        <v/>
      </c>
    </row>
    <row r="159" spans="1:5" x14ac:dyDescent="0.35">
      <c r="A159" s="4" t="str">
        <f>IF(NewTransaction!A80="","",NewTransaction!A80)</f>
        <v/>
      </c>
      <c r="B159" s="4" t="str">
        <f>IF(NewTransaction!A80="","",NewTransaction!B80)</f>
        <v/>
      </c>
      <c r="C159" s="4" t="str">
        <f>IF(NewTransaction!A80="","",NewTransaction!D80)</f>
        <v/>
      </c>
      <c r="D159" s="5" t="str">
        <f>IF(A159="","",0)</f>
        <v/>
      </c>
      <c r="E159" s="5" t="str">
        <f>IF(NewTransaction!A80="","",NewTransaction!E80)</f>
        <v/>
      </c>
    </row>
    <row r="160" spans="1:5" x14ac:dyDescent="0.35">
      <c r="A160" s="4" t="str">
        <f>IF(NewTransaction!A81="","",NewTransaction!A81)</f>
        <v/>
      </c>
      <c r="B160" s="4" t="str">
        <f>IF(NewTransaction!A81="","",NewTransaction!B81)</f>
        <v/>
      </c>
      <c r="C160" s="4" t="str">
        <f>IF(NewTransaction!A81="","",NewTransaction!C81)</f>
        <v/>
      </c>
      <c r="D160" s="5" t="str">
        <f>IF(NewTransaction!A81="","",NewTransaction!E81)</f>
        <v/>
      </c>
      <c r="E160" s="5" t="str">
        <f>IF(A160="","",0)</f>
        <v/>
      </c>
    </row>
    <row r="161" spans="1:5" x14ac:dyDescent="0.35">
      <c r="A161" s="4" t="str">
        <f>IF(NewTransaction!A81="","",NewTransaction!A81)</f>
        <v/>
      </c>
      <c r="B161" s="4" t="str">
        <f>IF(NewTransaction!A81="","",NewTransaction!B81)</f>
        <v/>
      </c>
      <c r="C161" s="4" t="str">
        <f>IF(NewTransaction!A81="","",NewTransaction!D81)</f>
        <v/>
      </c>
      <c r="D161" s="5" t="str">
        <f>IF(A161="","",0)</f>
        <v/>
      </c>
      <c r="E161" s="5" t="str">
        <f>IF(NewTransaction!A81="","",NewTransaction!E81)</f>
        <v/>
      </c>
    </row>
    <row r="162" spans="1:5" x14ac:dyDescent="0.35">
      <c r="A162" s="4" t="str">
        <f>IF(NewTransaction!A82="","",NewTransaction!A82)</f>
        <v/>
      </c>
      <c r="B162" s="4" t="str">
        <f>IF(NewTransaction!A82="","",NewTransaction!B82)</f>
        <v/>
      </c>
      <c r="C162" s="4" t="str">
        <f>IF(NewTransaction!A82="","",NewTransaction!C82)</f>
        <v/>
      </c>
      <c r="D162" s="5" t="str">
        <f>IF(NewTransaction!A82="","",NewTransaction!E82)</f>
        <v/>
      </c>
      <c r="E162" s="5" t="str">
        <f>IF(A162="","",0)</f>
        <v/>
      </c>
    </row>
    <row r="163" spans="1:5" x14ac:dyDescent="0.35">
      <c r="A163" s="4" t="str">
        <f>IF(NewTransaction!A82="","",NewTransaction!A82)</f>
        <v/>
      </c>
      <c r="B163" s="4" t="str">
        <f>IF(NewTransaction!A82="","",NewTransaction!B82)</f>
        <v/>
      </c>
      <c r="C163" s="4" t="str">
        <f>IF(NewTransaction!A82="","",NewTransaction!D82)</f>
        <v/>
      </c>
      <c r="D163" s="5" t="str">
        <f>IF(A163="","",0)</f>
        <v/>
      </c>
      <c r="E163" s="5" t="str">
        <f>IF(NewTransaction!A82="","",NewTransaction!E82)</f>
        <v/>
      </c>
    </row>
    <row r="164" spans="1:5" x14ac:dyDescent="0.35">
      <c r="A164" s="4" t="str">
        <f>IF(NewTransaction!A83="","",NewTransaction!A83)</f>
        <v/>
      </c>
      <c r="B164" s="4" t="str">
        <f>IF(NewTransaction!A83="","",NewTransaction!B83)</f>
        <v/>
      </c>
      <c r="C164" s="4" t="str">
        <f>IF(NewTransaction!A83="","",NewTransaction!C83)</f>
        <v/>
      </c>
      <c r="D164" s="5" t="str">
        <f>IF(NewTransaction!A83="","",NewTransaction!E83)</f>
        <v/>
      </c>
      <c r="E164" s="5" t="str">
        <f>IF(A164="","",0)</f>
        <v/>
      </c>
    </row>
    <row r="165" spans="1:5" x14ac:dyDescent="0.35">
      <c r="A165" s="4" t="str">
        <f>IF(NewTransaction!A83="","",NewTransaction!A83)</f>
        <v/>
      </c>
      <c r="B165" s="4" t="str">
        <f>IF(NewTransaction!A83="","",NewTransaction!B83)</f>
        <v/>
      </c>
      <c r="C165" s="4" t="str">
        <f>IF(NewTransaction!A83="","",NewTransaction!D83)</f>
        <v/>
      </c>
      <c r="D165" s="5" t="str">
        <f>IF(A165="","",0)</f>
        <v/>
      </c>
      <c r="E165" s="5" t="str">
        <f>IF(NewTransaction!A83="","",NewTransaction!E83)</f>
        <v/>
      </c>
    </row>
    <row r="166" spans="1:5" x14ac:dyDescent="0.35">
      <c r="A166" s="4" t="str">
        <f>IF(NewTransaction!A84="","",NewTransaction!A84)</f>
        <v/>
      </c>
      <c r="B166" s="4" t="str">
        <f>IF(NewTransaction!A84="","",NewTransaction!B84)</f>
        <v/>
      </c>
      <c r="C166" s="4" t="str">
        <f>IF(NewTransaction!A84="","",NewTransaction!C84)</f>
        <v/>
      </c>
      <c r="D166" s="5" t="str">
        <f>IF(NewTransaction!A84="","",NewTransaction!E84)</f>
        <v/>
      </c>
      <c r="E166" s="5" t="str">
        <f>IF(A166="","",0)</f>
        <v/>
      </c>
    </row>
    <row r="167" spans="1:5" x14ac:dyDescent="0.35">
      <c r="A167" s="4" t="str">
        <f>IF(NewTransaction!A84="","",NewTransaction!A84)</f>
        <v/>
      </c>
      <c r="B167" s="4" t="str">
        <f>IF(NewTransaction!A84="","",NewTransaction!B84)</f>
        <v/>
      </c>
      <c r="C167" s="4" t="str">
        <f>IF(NewTransaction!A84="","",NewTransaction!D84)</f>
        <v/>
      </c>
      <c r="D167" s="5" t="str">
        <f>IF(A167="","",0)</f>
        <v/>
      </c>
      <c r="E167" s="5" t="str">
        <f>IF(NewTransaction!A84="","",NewTransaction!E84)</f>
        <v/>
      </c>
    </row>
    <row r="168" spans="1:5" x14ac:dyDescent="0.35">
      <c r="A168" s="4" t="str">
        <f>IF(NewTransaction!A85="","",NewTransaction!A85)</f>
        <v/>
      </c>
      <c r="B168" s="4" t="str">
        <f>IF(NewTransaction!A85="","",NewTransaction!B85)</f>
        <v/>
      </c>
      <c r="C168" s="4" t="str">
        <f>IF(NewTransaction!A85="","",NewTransaction!C85)</f>
        <v/>
      </c>
      <c r="D168" s="5" t="str">
        <f>IF(NewTransaction!A85="","",NewTransaction!E85)</f>
        <v/>
      </c>
      <c r="E168" s="5" t="str">
        <f>IF(A168="","",0)</f>
        <v/>
      </c>
    </row>
    <row r="169" spans="1:5" x14ac:dyDescent="0.35">
      <c r="A169" s="4" t="str">
        <f>IF(NewTransaction!A85="","",NewTransaction!A85)</f>
        <v/>
      </c>
      <c r="B169" s="4" t="str">
        <f>IF(NewTransaction!A85="","",NewTransaction!B85)</f>
        <v/>
      </c>
      <c r="C169" s="4" t="str">
        <f>IF(NewTransaction!A85="","",NewTransaction!D85)</f>
        <v/>
      </c>
      <c r="D169" s="5" t="str">
        <f>IF(A169="","",0)</f>
        <v/>
      </c>
      <c r="E169" s="5" t="str">
        <f>IF(NewTransaction!A85="","",NewTransaction!E85)</f>
        <v/>
      </c>
    </row>
    <row r="170" spans="1:5" x14ac:dyDescent="0.35">
      <c r="A170" s="4" t="str">
        <f>IF(NewTransaction!A86="","",NewTransaction!A86)</f>
        <v/>
      </c>
      <c r="B170" s="4" t="str">
        <f>IF(NewTransaction!A86="","",NewTransaction!B86)</f>
        <v/>
      </c>
      <c r="C170" s="4" t="str">
        <f>IF(NewTransaction!A86="","",NewTransaction!C86)</f>
        <v/>
      </c>
      <c r="D170" s="5" t="str">
        <f>IF(NewTransaction!A86="","",NewTransaction!E86)</f>
        <v/>
      </c>
      <c r="E170" s="5" t="str">
        <f>IF(A170="","",0)</f>
        <v/>
      </c>
    </row>
    <row r="171" spans="1:5" x14ac:dyDescent="0.35">
      <c r="A171" s="4" t="str">
        <f>IF(NewTransaction!A86="","",NewTransaction!A86)</f>
        <v/>
      </c>
      <c r="B171" s="4" t="str">
        <f>IF(NewTransaction!A86="","",NewTransaction!B86)</f>
        <v/>
      </c>
      <c r="C171" s="4" t="str">
        <f>IF(NewTransaction!A86="","",NewTransaction!D86)</f>
        <v/>
      </c>
      <c r="D171" s="5" t="str">
        <f>IF(A171="","",0)</f>
        <v/>
      </c>
      <c r="E171" s="5" t="str">
        <f>IF(NewTransaction!A86="","",NewTransaction!E86)</f>
        <v/>
      </c>
    </row>
    <row r="172" spans="1:5" x14ac:dyDescent="0.35">
      <c r="A172" s="4" t="str">
        <f>IF(NewTransaction!A87="","",NewTransaction!A87)</f>
        <v/>
      </c>
      <c r="B172" s="4" t="str">
        <f>IF(NewTransaction!A87="","",NewTransaction!B87)</f>
        <v/>
      </c>
      <c r="C172" s="4" t="str">
        <f>IF(NewTransaction!A87="","",NewTransaction!C87)</f>
        <v/>
      </c>
      <c r="D172" s="5" t="str">
        <f>IF(NewTransaction!A87="","",NewTransaction!E87)</f>
        <v/>
      </c>
      <c r="E172" s="5" t="str">
        <f>IF(A172="","",0)</f>
        <v/>
      </c>
    </row>
    <row r="173" spans="1:5" x14ac:dyDescent="0.35">
      <c r="A173" s="4" t="str">
        <f>IF(NewTransaction!A87="","",NewTransaction!A87)</f>
        <v/>
      </c>
      <c r="B173" s="4" t="str">
        <f>IF(NewTransaction!A87="","",NewTransaction!B87)</f>
        <v/>
      </c>
      <c r="C173" s="4" t="str">
        <f>IF(NewTransaction!A87="","",NewTransaction!D87)</f>
        <v/>
      </c>
      <c r="D173" s="5" t="str">
        <f>IF(A173="","",0)</f>
        <v/>
      </c>
      <c r="E173" s="5" t="str">
        <f>IF(NewTransaction!A87="","",NewTransaction!E87)</f>
        <v/>
      </c>
    </row>
    <row r="174" spans="1:5" x14ac:dyDescent="0.35">
      <c r="A174" s="4" t="str">
        <f>IF(NewTransaction!A88="","",NewTransaction!A88)</f>
        <v/>
      </c>
      <c r="B174" s="4" t="str">
        <f>IF(NewTransaction!A88="","",NewTransaction!B88)</f>
        <v/>
      </c>
      <c r="C174" s="4" t="str">
        <f>IF(NewTransaction!A88="","",NewTransaction!C88)</f>
        <v/>
      </c>
      <c r="D174" s="5" t="str">
        <f>IF(NewTransaction!A88="","",NewTransaction!E88)</f>
        <v/>
      </c>
      <c r="E174" s="5" t="str">
        <f>IF(A174="","",0)</f>
        <v/>
      </c>
    </row>
    <row r="175" spans="1:5" x14ac:dyDescent="0.35">
      <c r="A175" s="4" t="str">
        <f>IF(NewTransaction!A88="","",NewTransaction!A88)</f>
        <v/>
      </c>
      <c r="B175" s="4" t="str">
        <f>IF(NewTransaction!A88="","",NewTransaction!B88)</f>
        <v/>
      </c>
      <c r="C175" s="4" t="str">
        <f>IF(NewTransaction!A88="","",NewTransaction!D88)</f>
        <v/>
      </c>
      <c r="D175" s="5" t="str">
        <f>IF(A175="","",0)</f>
        <v/>
      </c>
      <c r="E175" s="5" t="str">
        <f>IF(NewTransaction!A88="","",NewTransaction!E88)</f>
        <v/>
      </c>
    </row>
    <row r="176" spans="1:5" x14ac:dyDescent="0.35">
      <c r="A176" s="4" t="str">
        <f>IF(NewTransaction!A89="","",NewTransaction!A89)</f>
        <v/>
      </c>
      <c r="B176" s="4" t="str">
        <f>IF(NewTransaction!A89="","",NewTransaction!B89)</f>
        <v/>
      </c>
      <c r="C176" s="4" t="str">
        <f>IF(NewTransaction!A89="","",NewTransaction!C89)</f>
        <v/>
      </c>
      <c r="D176" s="5" t="str">
        <f>IF(NewTransaction!A89="","",NewTransaction!E89)</f>
        <v/>
      </c>
      <c r="E176" s="5" t="str">
        <f>IF(A176="","",0)</f>
        <v/>
      </c>
    </row>
    <row r="177" spans="1:5" x14ac:dyDescent="0.35">
      <c r="A177" s="4" t="str">
        <f>IF(NewTransaction!A89="","",NewTransaction!A89)</f>
        <v/>
      </c>
      <c r="B177" s="4" t="str">
        <f>IF(NewTransaction!A89="","",NewTransaction!B89)</f>
        <v/>
      </c>
      <c r="C177" s="4" t="str">
        <f>IF(NewTransaction!A89="","",NewTransaction!D89)</f>
        <v/>
      </c>
      <c r="D177" s="5" t="str">
        <f>IF(A177="","",0)</f>
        <v/>
      </c>
      <c r="E177" s="5" t="str">
        <f>IF(NewTransaction!A89="","",NewTransaction!E89)</f>
        <v/>
      </c>
    </row>
    <row r="178" spans="1:5" x14ac:dyDescent="0.35">
      <c r="A178" s="4" t="str">
        <f>IF(NewTransaction!A90="","",NewTransaction!A90)</f>
        <v/>
      </c>
      <c r="B178" s="4" t="str">
        <f>IF(NewTransaction!A90="","",NewTransaction!B90)</f>
        <v/>
      </c>
      <c r="C178" s="4" t="str">
        <f>IF(NewTransaction!A90="","",NewTransaction!C90)</f>
        <v/>
      </c>
      <c r="D178" s="5" t="str">
        <f>IF(NewTransaction!A90="","",NewTransaction!E90)</f>
        <v/>
      </c>
      <c r="E178" s="5" t="str">
        <f>IF(A178="","",0)</f>
        <v/>
      </c>
    </row>
    <row r="179" spans="1:5" x14ac:dyDescent="0.35">
      <c r="A179" s="4" t="str">
        <f>IF(NewTransaction!A90="","",NewTransaction!A90)</f>
        <v/>
      </c>
      <c r="B179" s="4" t="str">
        <f>IF(NewTransaction!A90="","",NewTransaction!B90)</f>
        <v/>
      </c>
      <c r="C179" s="4" t="str">
        <f>IF(NewTransaction!A90="","",NewTransaction!D90)</f>
        <v/>
      </c>
      <c r="D179" s="5" t="str">
        <f>IF(A179="","",0)</f>
        <v/>
      </c>
      <c r="E179" s="5" t="str">
        <f>IF(NewTransaction!A90="","",NewTransaction!E90)</f>
        <v/>
      </c>
    </row>
    <row r="180" spans="1:5" x14ac:dyDescent="0.35">
      <c r="A180" s="4" t="str">
        <f>IF(NewTransaction!A91="","",NewTransaction!A91)</f>
        <v/>
      </c>
      <c r="B180" s="4" t="str">
        <f>IF(NewTransaction!A91="","",NewTransaction!B91)</f>
        <v/>
      </c>
      <c r="C180" s="4" t="str">
        <f>IF(NewTransaction!A91="","",NewTransaction!C91)</f>
        <v/>
      </c>
      <c r="D180" s="5" t="str">
        <f>IF(NewTransaction!A91="","",NewTransaction!E91)</f>
        <v/>
      </c>
      <c r="E180" s="5" t="str">
        <f>IF(A180="","",0)</f>
        <v/>
      </c>
    </row>
    <row r="181" spans="1:5" x14ac:dyDescent="0.35">
      <c r="A181" s="4" t="str">
        <f>IF(NewTransaction!A91="","",NewTransaction!A91)</f>
        <v/>
      </c>
      <c r="B181" s="4" t="str">
        <f>IF(NewTransaction!A91="","",NewTransaction!B91)</f>
        <v/>
      </c>
      <c r="C181" s="4" t="str">
        <f>IF(NewTransaction!A91="","",NewTransaction!D91)</f>
        <v/>
      </c>
      <c r="D181" s="5" t="str">
        <f>IF(A181="","",0)</f>
        <v/>
      </c>
      <c r="E181" s="5" t="str">
        <f>IF(NewTransaction!A91="","",NewTransaction!E91)</f>
        <v/>
      </c>
    </row>
    <row r="182" spans="1:5" x14ac:dyDescent="0.35">
      <c r="A182" s="4" t="str">
        <f>IF(NewTransaction!A92="","",NewTransaction!A92)</f>
        <v/>
      </c>
      <c r="B182" s="4" t="str">
        <f>IF(NewTransaction!A92="","",NewTransaction!B92)</f>
        <v/>
      </c>
      <c r="C182" s="4" t="str">
        <f>IF(NewTransaction!A92="","",NewTransaction!C92)</f>
        <v/>
      </c>
      <c r="D182" s="5" t="str">
        <f>IF(NewTransaction!A92="","",NewTransaction!E92)</f>
        <v/>
      </c>
      <c r="E182" s="5" t="str">
        <f>IF(A182="","",0)</f>
        <v/>
      </c>
    </row>
    <row r="183" spans="1:5" x14ac:dyDescent="0.35">
      <c r="A183" s="4" t="str">
        <f>IF(NewTransaction!A92="","",NewTransaction!A92)</f>
        <v/>
      </c>
      <c r="B183" s="4" t="str">
        <f>IF(NewTransaction!A92="","",NewTransaction!B92)</f>
        <v/>
      </c>
      <c r="C183" s="4" t="str">
        <f>IF(NewTransaction!A92="","",NewTransaction!D92)</f>
        <v/>
      </c>
      <c r="D183" s="5" t="str">
        <f>IF(A183="","",0)</f>
        <v/>
      </c>
      <c r="E183" s="5" t="str">
        <f>IF(NewTransaction!A92="","",NewTransaction!E92)</f>
        <v/>
      </c>
    </row>
    <row r="184" spans="1:5" x14ac:dyDescent="0.35">
      <c r="A184" s="4" t="str">
        <f>IF(NewTransaction!A93="","",NewTransaction!A93)</f>
        <v/>
      </c>
      <c r="B184" s="4" t="str">
        <f>IF(NewTransaction!A93="","",NewTransaction!B93)</f>
        <v/>
      </c>
      <c r="C184" s="4" t="str">
        <f>IF(NewTransaction!A93="","",NewTransaction!C93)</f>
        <v/>
      </c>
      <c r="D184" s="5" t="str">
        <f>IF(NewTransaction!A93="","",NewTransaction!E93)</f>
        <v/>
      </c>
      <c r="E184" s="5" t="str">
        <f>IF(A184="","",0)</f>
        <v/>
      </c>
    </row>
    <row r="185" spans="1:5" x14ac:dyDescent="0.35">
      <c r="A185" s="4" t="str">
        <f>IF(NewTransaction!A93="","",NewTransaction!A93)</f>
        <v/>
      </c>
      <c r="B185" s="4" t="str">
        <f>IF(NewTransaction!A93="","",NewTransaction!B93)</f>
        <v/>
      </c>
      <c r="C185" s="4" t="str">
        <f>IF(NewTransaction!A93="","",NewTransaction!D93)</f>
        <v/>
      </c>
      <c r="D185" s="5" t="str">
        <f>IF(A185="","",0)</f>
        <v/>
      </c>
      <c r="E185" s="5" t="str">
        <f>IF(NewTransaction!A93="","",NewTransaction!E93)</f>
        <v/>
      </c>
    </row>
    <row r="186" spans="1:5" x14ac:dyDescent="0.35">
      <c r="A186" s="4" t="str">
        <f>IF(NewTransaction!A94="","",NewTransaction!A94)</f>
        <v/>
      </c>
      <c r="B186" s="4" t="str">
        <f>IF(NewTransaction!A94="","",NewTransaction!B94)</f>
        <v/>
      </c>
      <c r="C186" s="4" t="str">
        <f>IF(NewTransaction!A94="","",NewTransaction!C94)</f>
        <v/>
      </c>
      <c r="D186" s="5" t="str">
        <f>IF(NewTransaction!A94="","",NewTransaction!E94)</f>
        <v/>
      </c>
      <c r="E186" s="5" t="str">
        <f>IF(A186="","",0)</f>
        <v/>
      </c>
    </row>
    <row r="187" spans="1:5" x14ac:dyDescent="0.35">
      <c r="A187" s="4" t="str">
        <f>IF(NewTransaction!A94="","",NewTransaction!A94)</f>
        <v/>
      </c>
      <c r="B187" s="4" t="str">
        <f>IF(NewTransaction!A94="","",NewTransaction!B94)</f>
        <v/>
      </c>
      <c r="C187" s="4" t="str">
        <f>IF(NewTransaction!A94="","",NewTransaction!D94)</f>
        <v/>
      </c>
      <c r="D187" s="5" t="str">
        <f>IF(A187="","",0)</f>
        <v/>
      </c>
      <c r="E187" s="5" t="str">
        <f>IF(NewTransaction!A94="","",NewTransaction!E94)</f>
        <v/>
      </c>
    </row>
    <row r="188" spans="1:5" x14ac:dyDescent="0.35">
      <c r="A188" s="4" t="str">
        <f>IF(NewTransaction!A95="","",NewTransaction!A95)</f>
        <v/>
      </c>
      <c r="B188" s="4" t="str">
        <f>IF(NewTransaction!A95="","",NewTransaction!B95)</f>
        <v/>
      </c>
      <c r="C188" s="4" t="str">
        <f>IF(NewTransaction!A95="","",NewTransaction!C95)</f>
        <v/>
      </c>
      <c r="D188" s="5" t="str">
        <f>IF(NewTransaction!A95="","",NewTransaction!E95)</f>
        <v/>
      </c>
      <c r="E188" s="5" t="str">
        <f>IF(A188="","",0)</f>
        <v/>
      </c>
    </row>
    <row r="189" spans="1:5" x14ac:dyDescent="0.35">
      <c r="A189" s="4" t="str">
        <f>IF(NewTransaction!A95="","",NewTransaction!A95)</f>
        <v/>
      </c>
      <c r="B189" s="4" t="str">
        <f>IF(NewTransaction!A95="","",NewTransaction!B95)</f>
        <v/>
      </c>
      <c r="C189" s="4" t="str">
        <f>IF(NewTransaction!A95="","",NewTransaction!D95)</f>
        <v/>
      </c>
      <c r="D189" s="5" t="str">
        <f>IF(A189="","",0)</f>
        <v/>
      </c>
      <c r="E189" s="5" t="str">
        <f>IF(NewTransaction!A95="","",NewTransaction!E95)</f>
        <v/>
      </c>
    </row>
    <row r="190" spans="1:5" x14ac:dyDescent="0.35">
      <c r="A190" s="4" t="str">
        <f>IF(NewTransaction!A96="","",NewTransaction!A96)</f>
        <v/>
      </c>
      <c r="B190" s="4" t="str">
        <f>IF(NewTransaction!A96="","",NewTransaction!B96)</f>
        <v/>
      </c>
      <c r="C190" s="4" t="str">
        <f>IF(NewTransaction!A96="","",NewTransaction!C96)</f>
        <v/>
      </c>
      <c r="D190" s="5" t="str">
        <f>IF(NewTransaction!A96="","",NewTransaction!E96)</f>
        <v/>
      </c>
      <c r="E190" s="5" t="str">
        <f>IF(A190="","",0)</f>
        <v/>
      </c>
    </row>
    <row r="191" spans="1:5" x14ac:dyDescent="0.35">
      <c r="A191" s="4" t="str">
        <f>IF(NewTransaction!A96="","",NewTransaction!A96)</f>
        <v/>
      </c>
      <c r="B191" s="4" t="str">
        <f>IF(NewTransaction!A96="","",NewTransaction!B96)</f>
        <v/>
      </c>
      <c r="C191" s="4" t="str">
        <f>IF(NewTransaction!A96="","",NewTransaction!D96)</f>
        <v/>
      </c>
      <c r="D191" s="5" t="str">
        <f>IF(A191="","",0)</f>
        <v/>
      </c>
      <c r="E191" s="5" t="str">
        <f>IF(NewTransaction!A96="","",NewTransaction!E96)</f>
        <v/>
      </c>
    </row>
    <row r="192" spans="1:5" x14ac:dyDescent="0.35">
      <c r="A192" s="4" t="str">
        <f>IF(NewTransaction!A97="","",NewTransaction!A97)</f>
        <v/>
      </c>
      <c r="B192" s="4" t="str">
        <f>IF(NewTransaction!A97="","",NewTransaction!B97)</f>
        <v/>
      </c>
      <c r="C192" s="4" t="str">
        <f>IF(NewTransaction!A97="","",NewTransaction!C97)</f>
        <v/>
      </c>
      <c r="D192" s="5" t="str">
        <f>IF(NewTransaction!A97="","",NewTransaction!E97)</f>
        <v/>
      </c>
      <c r="E192" s="5" t="str">
        <f>IF(A192="","",0)</f>
        <v/>
      </c>
    </row>
    <row r="193" spans="1:5" x14ac:dyDescent="0.35">
      <c r="A193" s="4" t="str">
        <f>IF(NewTransaction!A97="","",NewTransaction!A97)</f>
        <v/>
      </c>
      <c r="B193" s="4" t="str">
        <f>IF(NewTransaction!A97="","",NewTransaction!B97)</f>
        <v/>
      </c>
      <c r="C193" s="4" t="str">
        <f>IF(NewTransaction!A97="","",NewTransaction!D97)</f>
        <v/>
      </c>
      <c r="D193" s="5" t="str">
        <f>IF(A193="","",0)</f>
        <v/>
      </c>
      <c r="E193" s="5" t="str">
        <f>IF(NewTransaction!A97="","",NewTransaction!E97)</f>
        <v/>
      </c>
    </row>
    <row r="194" spans="1:5" x14ac:dyDescent="0.35">
      <c r="A194" s="4" t="str">
        <f>IF(NewTransaction!A98="","",NewTransaction!A98)</f>
        <v/>
      </c>
      <c r="B194" s="4" t="str">
        <f>IF(NewTransaction!A98="","",NewTransaction!B98)</f>
        <v/>
      </c>
      <c r="C194" s="4" t="str">
        <f>IF(NewTransaction!A98="","",NewTransaction!C98)</f>
        <v/>
      </c>
      <c r="D194" s="5" t="str">
        <f>IF(NewTransaction!A98="","",NewTransaction!E98)</f>
        <v/>
      </c>
      <c r="E194" s="5" t="str">
        <f>IF(A194="","",0)</f>
        <v/>
      </c>
    </row>
    <row r="195" spans="1:5" x14ac:dyDescent="0.35">
      <c r="A195" s="4" t="str">
        <f>IF(NewTransaction!A98="","",NewTransaction!A98)</f>
        <v/>
      </c>
      <c r="B195" s="4" t="str">
        <f>IF(NewTransaction!A98="","",NewTransaction!B98)</f>
        <v/>
      </c>
      <c r="C195" s="4" t="str">
        <f>IF(NewTransaction!A98="","",NewTransaction!D98)</f>
        <v/>
      </c>
      <c r="D195" s="5" t="str">
        <f>IF(A195="","",0)</f>
        <v/>
      </c>
      <c r="E195" s="5" t="str">
        <f>IF(NewTransaction!A98="","",NewTransaction!E98)</f>
        <v/>
      </c>
    </row>
    <row r="196" spans="1:5" x14ac:dyDescent="0.35">
      <c r="A196" s="4" t="str">
        <f>IF(NewTransaction!A99="","",NewTransaction!A99)</f>
        <v/>
      </c>
      <c r="B196" s="4" t="str">
        <f>IF(NewTransaction!A99="","",NewTransaction!B99)</f>
        <v/>
      </c>
      <c r="C196" s="4" t="str">
        <f>IF(NewTransaction!A99="","",NewTransaction!C99)</f>
        <v/>
      </c>
      <c r="D196" s="5" t="str">
        <f>IF(NewTransaction!A99="","",NewTransaction!E99)</f>
        <v/>
      </c>
      <c r="E196" s="5" t="str">
        <f>IF(A196="","",0)</f>
        <v/>
      </c>
    </row>
    <row r="197" spans="1:5" x14ac:dyDescent="0.35">
      <c r="A197" s="4" t="str">
        <f>IF(NewTransaction!A99="","",NewTransaction!A99)</f>
        <v/>
      </c>
      <c r="B197" s="4" t="str">
        <f>IF(NewTransaction!A99="","",NewTransaction!B99)</f>
        <v/>
      </c>
      <c r="C197" s="4" t="str">
        <f>IF(NewTransaction!A99="","",NewTransaction!D99)</f>
        <v/>
      </c>
      <c r="D197" s="5" t="str">
        <f>IF(A197="","",0)</f>
        <v/>
      </c>
      <c r="E197" s="5" t="str">
        <f>IF(NewTransaction!A99="","",NewTransaction!E99)</f>
        <v/>
      </c>
    </row>
    <row r="198" spans="1:5" x14ac:dyDescent="0.35">
      <c r="A198" s="4" t="str">
        <f>IF(NewTransaction!A100="","",NewTransaction!A100)</f>
        <v/>
      </c>
      <c r="B198" s="4" t="str">
        <f>IF(NewTransaction!A100="","",NewTransaction!B100)</f>
        <v/>
      </c>
      <c r="C198" s="4" t="str">
        <f>IF(NewTransaction!A100="","",NewTransaction!C100)</f>
        <v/>
      </c>
      <c r="D198" s="5" t="str">
        <f>IF(NewTransaction!A100="","",NewTransaction!E100)</f>
        <v/>
      </c>
      <c r="E198" s="5" t="str">
        <f>IF(A198="","",0)</f>
        <v/>
      </c>
    </row>
    <row r="199" spans="1:5" x14ac:dyDescent="0.35">
      <c r="A199" s="4" t="str">
        <f>IF(NewTransaction!A100="","",NewTransaction!A100)</f>
        <v/>
      </c>
      <c r="B199" s="4" t="str">
        <f>IF(NewTransaction!A100="","",NewTransaction!B100)</f>
        <v/>
      </c>
      <c r="C199" s="4" t="str">
        <f>IF(NewTransaction!A100="","",NewTransaction!D100)</f>
        <v/>
      </c>
      <c r="D199" s="5" t="str">
        <f>IF(A199="","",0)</f>
        <v/>
      </c>
      <c r="E199" s="5" t="str">
        <f>IF(NewTransaction!A100="","",NewTransaction!E100)</f>
        <v/>
      </c>
    </row>
    <row r="200" spans="1:5" x14ac:dyDescent="0.35">
      <c r="A200" s="4" t="str">
        <f>IF(NewTransaction!A101="","",NewTransaction!A101)</f>
        <v/>
      </c>
      <c r="B200" s="4" t="str">
        <f>IF(NewTransaction!A101="","",NewTransaction!B101)</f>
        <v/>
      </c>
      <c r="C200" s="4" t="str">
        <f>IF(NewTransaction!A101="","",NewTransaction!C101)</f>
        <v/>
      </c>
      <c r="D200" s="5" t="str">
        <f>IF(NewTransaction!A101="","",NewTransaction!E101)</f>
        <v/>
      </c>
      <c r="E200" s="5" t="str">
        <f>IF(A200="","",0)</f>
        <v/>
      </c>
    </row>
    <row r="201" spans="1:5" x14ac:dyDescent="0.35">
      <c r="A201" s="4" t="str">
        <f>IF(NewTransaction!A101="","",NewTransaction!A101)</f>
        <v/>
      </c>
      <c r="B201" s="4" t="str">
        <f>IF(NewTransaction!A101="","",NewTransaction!B101)</f>
        <v/>
      </c>
      <c r="C201" s="4" t="str">
        <f>IF(NewTransaction!A101="","",NewTransaction!D101)</f>
        <v/>
      </c>
      <c r="D201" s="5" t="str">
        <f>IF(A201="","",0)</f>
        <v/>
      </c>
      <c r="E201" s="5" t="str">
        <f>IF(NewTransaction!A101="","",NewTransaction!E101)</f>
        <v/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showGridLines="0" workbookViewId="0"/>
  </sheetViews>
  <sheetFormatPr defaultRowHeight="14.5" x14ac:dyDescent="0.35"/>
  <cols>
    <col min="1" max="1" width="24" customWidth="1"/>
    <col min="2" max="5" width="16" customWidth="1"/>
    <col min="6" max="6" width="12" customWidth="1"/>
  </cols>
  <sheetData>
    <row r="1" spans="1:6" x14ac:dyDescent="0.35">
      <c r="A1" s="3" t="s">
        <v>0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</row>
    <row r="2" spans="1:6" x14ac:dyDescent="0.35">
      <c r="A2" s="4" t="str">
        <f>ChartOfAccounts!A2</f>
        <v>Cash</v>
      </c>
      <c r="B2" s="5">
        <f>SUMIF(Journal!$C:$C,A2,Journal!$D:$D)</f>
        <v>23900</v>
      </c>
      <c r="C2" s="5">
        <f>SUMIF(Journal!$C:$C,A2,Journal!$E:$E)</f>
        <v>23900</v>
      </c>
      <c r="D2" s="5">
        <f t="shared" ref="D2:D8" si="0">B2-C2</f>
        <v>0</v>
      </c>
      <c r="E2" s="4" t="str">
        <f t="shared" ref="E2:E8" si="1">IF(OR(A2="Cash",A2="Equipment",A2="Office Supplies",A2="Rent Expense",A2="Salaries Expense"),"Debit","Credit")</f>
        <v>Debit</v>
      </c>
      <c r="F2" s="4" t="str">
        <f t="shared" ref="F2:F8" si="2">IF(OR(AND(E2="Debit",D2&gt;=0),AND(E2="Credit",D2&lt;=0)),"OK","Check")</f>
        <v>OK</v>
      </c>
    </row>
    <row r="3" spans="1:6" x14ac:dyDescent="0.35">
      <c r="A3" s="4" t="str">
        <f>ChartOfAccounts!A3</f>
        <v>Equipment</v>
      </c>
      <c r="B3" s="5">
        <f>SUMIF(Journal!$C:$C,A3,Journal!$D:$D)</f>
        <v>18000</v>
      </c>
      <c r="C3" s="5">
        <f>SUMIF(Journal!$C:$C,A3,Journal!$E:$E)</f>
        <v>0</v>
      </c>
      <c r="D3" s="5">
        <f t="shared" si="0"/>
        <v>18000</v>
      </c>
      <c r="E3" s="4" t="str">
        <f t="shared" si="1"/>
        <v>Debit</v>
      </c>
      <c r="F3" s="4" t="str">
        <f t="shared" si="2"/>
        <v>OK</v>
      </c>
    </row>
    <row r="4" spans="1:6" x14ac:dyDescent="0.35">
      <c r="A4" s="4" t="str">
        <f>ChartOfAccounts!A4</f>
        <v>Office Supplies</v>
      </c>
      <c r="B4" s="5">
        <f>SUMIF(Journal!$C:$C,A4,Journal!$D:$D)</f>
        <v>2200</v>
      </c>
      <c r="C4" s="5">
        <f>SUMIF(Journal!$C:$C,A4,Journal!$E:$E)</f>
        <v>0</v>
      </c>
      <c r="D4" s="5">
        <f t="shared" si="0"/>
        <v>2200</v>
      </c>
      <c r="E4" s="4" t="str">
        <f t="shared" si="1"/>
        <v>Debit</v>
      </c>
      <c r="F4" s="4" t="str">
        <f t="shared" si="2"/>
        <v>OK</v>
      </c>
    </row>
    <row r="5" spans="1:6" x14ac:dyDescent="0.35">
      <c r="A5" s="4" t="str">
        <f>ChartOfAccounts!A5</f>
        <v>Accounts Payable</v>
      </c>
      <c r="B5" s="5">
        <f>SUMIF(Journal!$C:$C,A5,Journal!$D:$D)</f>
        <v>0</v>
      </c>
      <c r="C5" s="5">
        <f>SUMIF(Journal!$C:$C,A5,Journal!$E:$E)</f>
        <v>2200</v>
      </c>
      <c r="D5" s="5">
        <f t="shared" si="0"/>
        <v>-2200</v>
      </c>
      <c r="E5" s="4" t="str">
        <f t="shared" si="1"/>
        <v>Credit</v>
      </c>
      <c r="F5" s="4" t="str">
        <f t="shared" si="2"/>
        <v>OK</v>
      </c>
    </row>
    <row r="6" spans="1:6" x14ac:dyDescent="0.35">
      <c r="A6" s="4" t="str">
        <f>ChartOfAccounts!A6</f>
        <v>Owner's Capital</v>
      </c>
      <c r="B6" s="5">
        <f>SUMIF(Journal!$C:$C,A6,Journal!$D:$D)</f>
        <v>0</v>
      </c>
      <c r="C6" s="5">
        <f>SUMIF(Journal!$C:$C,A6,Journal!$E:$E)</f>
        <v>18300</v>
      </c>
      <c r="D6" s="5">
        <f t="shared" si="0"/>
        <v>-18300</v>
      </c>
      <c r="E6" s="4" t="str">
        <f t="shared" si="1"/>
        <v>Credit</v>
      </c>
      <c r="F6" s="4" t="str">
        <f t="shared" si="2"/>
        <v>OK</v>
      </c>
    </row>
    <row r="7" spans="1:6" x14ac:dyDescent="0.35">
      <c r="A7" s="4" t="str">
        <f>ChartOfAccounts!A7</f>
        <v>Rent Expense</v>
      </c>
      <c r="B7" s="5">
        <f>SUMIF(Journal!$C:$C,A7,Journal!$D:$D)</f>
        <v>2700</v>
      </c>
      <c r="C7" s="5">
        <f>SUMIF(Journal!$C:$C,A7,Journal!$E:$E)</f>
        <v>0</v>
      </c>
      <c r="D7" s="5">
        <f t="shared" si="0"/>
        <v>2700</v>
      </c>
      <c r="E7" s="4" t="str">
        <f t="shared" si="1"/>
        <v>Debit</v>
      </c>
      <c r="F7" s="4" t="str">
        <f t="shared" si="2"/>
        <v>OK</v>
      </c>
    </row>
    <row r="8" spans="1:6" x14ac:dyDescent="0.35">
      <c r="A8" s="4" t="str">
        <f>ChartOfAccounts!A8</f>
        <v>Salaries Expense</v>
      </c>
      <c r="B8" s="5">
        <f>SUMIF(Journal!$C:$C,A8,Journal!$D:$D)</f>
        <v>3200</v>
      </c>
      <c r="C8" s="5">
        <f>SUMIF(Journal!$C:$C,A8,Journal!$E:$E)</f>
        <v>0</v>
      </c>
      <c r="D8" s="5">
        <f t="shared" si="0"/>
        <v>3200</v>
      </c>
      <c r="E8" s="4" t="str">
        <f t="shared" si="1"/>
        <v>Debit</v>
      </c>
      <c r="F8" s="4" t="str">
        <f t="shared" si="2"/>
        <v>OK</v>
      </c>
    </row>
  </sheetData>
  <conditionalFormatting sqref="F2:F8">
    <cfRule type="expression" dxfId="2" priority="1">
      <formula>$F2="Check"</formula>
    </cfRule>
  </conditionalFormatting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0"/>
  <sheetViews>
    <sheetView showGridLines="0" workbookViewId="0"/>
  </sheetViews>
  <sheetFormatPr defaultRowHeight="14.5" x14ac:dyDescent="0.35"/>
  <cols>
    <col min="1" max="1" width="26" customWidth="1"/>
    <col min="2" max="3" width="18" customWidth="1"/>
  </cols>
  <sheetData>
    <row r="1" spans="1:3" ht="21" x14ac:dyDescent="0.35">
      <c r="A1" s="6" t="s">
        <v>48</v>
      </c>
      <c r="B1" s="4"/>
      <c r="C1" s="4"/>
    </row>
    <row r="2" spans="1:3" x14ac:dyDescent="0.35">
      <c r="A2" s="4"/>
      <c r="B2" s="4"/>
      <c r="C2" s="4"/>
    </row>
    <row r="3" spans="1:3" x14ac:dyDescent="0.35">
      <c r="A3" s="7" t="s">
        <v>3</v>
      </c>
      <c r="B3" s="3" t="s">
        <v>41</v>
      </c>
      <c r="C3" s="3" t="s">
        <v>42</v>
      </c>
    </row>
    <row r="4" spans="1:3" x14ac:dyDescent="0.35">
      <c r="A4" s="4" t="s">
        <v>49</v>
      </c>
      <c r="B4" s="5">
        <f>SUMIF(Journal!$C:$C,A3,Journal!$D:$D)</f>
        <v>23900</v>
      </c>
      <c r="C4" s="4">
        <f>SUMIF(Journal!$C:$C,A3,Journal!$E:$E)</f>
        <v>23900</v>
      </c>
    </row>
    <row r="5" spans="1:3" x14ac:dyDescent="0.35">
      <c r="A5" s="4" t="s">
        <v>45</v>
      </c>
      <c r="B5" s="12">
        <f>B4-C4</f>
        <v>0</v>
      </c>
      <c r="C5" s="11"/>
    </row>
    <row r="6" spans="1:3" x14ac:dyDescent="0.35">
      <c r="A6" s="4"/>
      <c r="B6" s="4"/>
      <c r="C6" s="4"/>
    </row>
    <row r="7" spans="1:3" x14ac:dyDescent="0.35">
      <c r="A7" s="4"/>
      <c r="B7" s="4"/>
      <c r="C7" s="4"/>
    </row>
    <row r="8" spans="1:3" x14ac:dyDescent="0.35">
      <c r="A8" s="7" t="s">
        <v>6</v>
      </c>
      <c r="B8" s="3" t="s">
        <v>41</v>
      </c>
      <c r="C8" s="3" t="s">
        <v>42</v>
      </c>
    </row>
    <row r="9" spans="1:3" x14ac:dyDescent="0.35">
      <c r="A9" s="4" t="s">
        <v>49</v>
      </c>
      <c r="B9" s="5">
        <f>SUMIF(Journal!$C:$C,A8,Journal!$D:$D)</f>
        <v>18000</v>
      </c>
      <c r="C9" s="4">
        <f>SUMIF(Journal!$C:$C,A8,Journal!$E:$E)</f>
        <v>0</v>
      </c>
    </row>
    <row r="10" spans="1:3" x14ac:dyDescent="0.35">
      <c r="A10" s="4" t="s">
        <v>45</v>
      </c>
      <c r="B10" s="12">
        <f>B9-C9</f>
        <v>18000</v>
      </c>
      <c r="C10" s="11"/>
    </row>
    <row r="11" spans="1:3" x14ac:dyDescent="0.35">
      <c r="A11" s="4"/>
      <c r="B11" s="4"/>
      <c r="C11" s="4"/>
    </row>
    <row r="12" spans="1:3" x14ac:dyDescent="0.35">
      <c r="A12" s="4"/>
      <c r="B12" s="4"/>
      <c r="C12" s="4"/>
    </row>
    <row r="13" spans="1:3" x14ac:dyDescent="0.35">
      <c r="A13" s="7" t="s">
        <v>8</v>
      </c>
      <c r="B13" s="3" t="s">
        <v>41</v>
      </c>
      <c r="C13" s="3" t="s">
        <v>42</v>
      </c>
    </row>
    <row r="14" spans="1:3" x14ac:dyDescent="0.35">
      <c r="A14" s="4" t="s">
        <v>49</v>
      </c>
      <c r="B14" s="5">
        <f>SUMIF(Journal!$C:$C,A13,Journal!$D:$D)</f>
        <v>2200</v>
      </c>
      <c r="C14" s="4">
        <f>SUMIF(Journal!$C:$C,A13,Journal!$E:$E)</f>
        <v>0</v>
      </c>
    </row>
    <row r="15" spans="1:3" x14ac:dyDescent="0.35">
      <c r="A15" s="4" t="s">
        <v>45</v>
      </c>
      <c r="B15" s="12">
        <f>B14-C14</f>
        <v>2200</v>
      </c>
      <c r="C15" s="11"/>
    </row>
    <row r="16" spans="1:3" x14ac:dyDescent="0.35">
      <c r="A16" s="4"/>
      <c r="B16" s="4"/>
      <c r="C16" s="4"/>
    </row>
    <row r="17" spans="1:3" x14ac:dyDescent="0.35">
      <c r="A17" s="4"/>
      <c r="B17" s="4"/>
      <c r="C17" s="4"/>
    </row>
    <row r="18" spans="1:3" x14ac:dyDescent="0.35">
      <c r="A18" s="7" t="s">
        <v>9</v>
      </c>
      <c r="B18" s="3" t="s">
        <v>41</v>
      </c>
      <c r="C18" s="3" t="s">
        <v>42</v>
      </c>
    </row>
    <row r="19" spans="1:3" x14ac:dyDescent="0.35">
      <c r="A19" s="4" t="s">
        <v>49</v>
      </c>
      <c r="B19" s="5">
        <f>SUMIF(Journal!$C:$C,A18,Journal!$D:$D)</f>
        <v>0</v>
      </c>
      <c r="C19" s="4">
        <f>SUMIF(Journal!$C:$C,A18,Journal!$E:$E)</f>
        <v>2200</v>
      </c>
    </row>
    <row r="20" spans="1:3" x14ac:dyDescent="0.35">
      <c r="A20" s="4" t="s">
        <v>45</v>
      </c>
      <c r="B20" s="12">
        <f>B19-C19</f>
        <v>-2200</v>
      </c>
      <c r="C20" s="11"/>
    </row>
    <row r="21" spans="1:3" x14ac:dyDescent="0.35">
      <c r="A21" s="4"/>
      <c r="B21" s="4"/>
      <c r="C21" s="4"/>
    </row>
    <row r="22" spans="1:3" x14ac:dyDescent="0.35">
      <c r="A22" s="4"/>
      <c r="B22" s="4"/>
      <c r="C22" s="4"/>
    </row>
    <row r="23" spans="1:3" x14ac:dyDescent="0.35">
      <c r="A23" s="7" t="s">
        <v>12</v>
      </c>
      <c r="B23" s="3" t="s">
        <v>41</v>
      </c>
      <c r="C23" s="3" t="s">
        <v>42</v>
      </c>
    </row>
    <row r="24" spans="1:3" x14ac:dyDescent="0.35">
      <c r="A24" s="4" t="s">
        <v>49</v>
      </c>
      <c r="B24" s="5">
        <f>SUMIF(Journal!$C:$C,A23,Journal!$D:$D)</f>
        <v>0</v>
      </c>
      <c r="C24" s="4">
        <f>SUMIF(Journal!$C:$C,A23,Journal!$E:$E)</f>
        <v>18300</v>
      </c>
    </row>
    <row r="25" spans="1:3" x14ac:dyDescent="0.35">
      <c r="A25" s="4" t="s">
        <v>45</v>
      </c>
      <c r="B25" s="12">
        <f>B24-C24</f>
        <v>-18300</v>
      </c>
      <c r="C25" s="11"/>
    </row>
    <row r="26" spans="1:3" x14ac:dyDescent="0.35">
      <c r="A26" s="4"/>
      <c r="B26" s="4"/>
      <c r="C26" s="4"/>
    </row>
    <row r="27" spans="1:3" x14ac:dyDescent="0.35">
      <c r="A27" s="4"/>
      <c r="B27" s="4"/>
      <c r="C27" s="4"/>
    </row>
    <row r="28" spans="1:3" x14ac:dyDescent="0.35">
      <c r="A28" s="7" t="s">
        <v>15</v>
      </c>
      <c r="B28" s="3" t="s">
        <v>41</v>
      </c>
      <c r="C28" s="3" t="s">
        <v>42</v>
      </c>
    </row>
    <row r="29" spans="1:3" x14ac:dyDescent="0.35">
      <c r="A29" s="4" t="s">
        <v>49</v>
      </c>
      <c r="B29" s="5">
        <f>SUMIF(Journal!$C:$C,A28,Journal!$D:$D)</f>
        <v>2700</v>
      </c>
      <c r="C29" s="4">
        <f>SUMIF(Journal!$C:$C,A28,Journal!$E:$E)</f>
        <v>0</v>
      </c>
    </row>
    <row r="30" spans="1:3" x14ac:dyDescent="0.35">
      <c r="A30" s="4" t="s">
        <v>45</v>
      </c>
      <c r="B30" s="12">
        <f>B29-C29</f>
        <v>2700</v>
      </c>
      <c r="C30" s="11"/>
    </row>
    <row r="31" spans="1:3" x14ac:dyDescent="0.35">
      <c r="A31" s="4"/>
      <c r="B31" s="4"/>
      <c r="C31" s="4"/>
    </row>
    <row r="32" spans="1:3" x14ac:dyDescent="0.35">
      <c r="A32" s="4"/>
      <c r="B32" s="4"/>
      <c r="C32" s="4"/>
    </row>
    <row r="33" spans="1:3" x14ac:dyDescent="0.35">
      <c r="A33" s="7" t="s">
        <v>18</v>
      </c>
      <c r="B33" s="3" t="s">
        <v>41</v>
      </c>
      <c r="C33" s="3" t="s">
        <v>42</v>
      </c>
    </row>
    <row r="34" spans="1:3" x14ac:dyDescent="0.35">
      <c r="A34" s="4" t="s">
        <v>49</v>
      </c>
      <c r="B34" s="5">
        <f>SUMIF(Journal!$C:$C,A33,Journal!$D:$D)</f>
        <v>3200</v>
      </c>
      <c r="C34" s="4">
        <f>SUMIF(Journal!$C:$C,A33,Journal!$E:$E)</f>
        <v>0</v>
      </c>
    </row>
    <row r="35" spans="1:3" x14ac:dyDescent="0.35">
      <c r="A35" s="4" t="s">
        <v>45</v>
      </c>
      <c r="B35" s="12">
        <f>B34-C34</f>
        <v>3200</v>
      </c>
      <c r="C35" s="11"/>
    </row>
    <row r="36" spans="1:3" x14ac:dyDescent="0.35">
      <c r="A36" s="4"/>
      <c r="B36" s="4"/>
      <c r="C36" s="4"/>
    </row>
    <row r="37" spans="1:3" x14ac:dyDescent="0.35">
      <c r="A37" s="4"/>
      <c r="B37" s="4"/>
      <c r="C37" s="4"/>
    </row>
    <row r="38" spans="1:3" x14ac:dyDescent="0.35">
      <c r="A38" s="7" t="s">
        <v>19</v>
      </c>
      <c r="B38" s="3" t="s">
        <v>41</v>
      </c>
      <c r="C38" s="3" t="s">
        <v>42</v>
      </c>
    </row>
    <row r="39" spans="1:3" x14ac:dyDescent="0.35">
      <c r="A39" s="4" t="s">
        <v>49</v>
      </c>
      <c r="B39" s="5">
        <f>SUMIF(Journal!$C:$C,A38,Journal!$D:$D)</f>
        <v>0</v>
      </c>
      <c r="C39" s="4">
        <f>SUMIF(Journal!$C:$C,A38,Journal!$E:$E)</f>
        <v>5600</v>
      </c>
    </row>
    <row r="40" spans="1:3" x14ac:dyDescent="0.35">
      <c r="A40" s="4" t="s">
        <v>45</v>
      </c>
      <c r="B40" s="12">
        <f>B39-C39</f>
        <v>-5600</v>
      </c>
      <c r="C40" s="11"/>
    </row>
  </sheetData>
  <mergeCells count="8">
    <mergeCell ref="B40:C40"/>
    <mergeCell ref="B35:C35"/>
    <mergeCell ref="B30:C30"/>
    <mergeCell ref="B15:C15"/>
    <mergeCell ref="B25:C25"/>
    <mergeCell ref="B5:C5"/>
    <mergeCell ref="B20:C20"/>
    <mergeCell ref="B10:C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"/>
  <sheetViews>
    <sheetView showGridLines="0" workbookViewId="0">
      <selection activeCell="B3" sqref="B3"/>
    </sheetView>
  </sheetViews>
  <sheetFormatPr defaultRowHeight="14.5" x14ac:dyDescent="0.35"/>
  <cols>
    <col min="1" max="1" width="26" customWidth="1"/>
    <col min="2" max="3" width="16" customWidth="1"/>
  </cols>
  <sheetData>
    <row r="1" spans="1:3" x14ac:dyDescent="0.35">
      <c r="A1" s="3" t="s">
        <v>0</v>
      </c>
      <c r="B1" s="3" t="s">
        <v>41</v>
      </c>
      <c r="C1" s="3" t="s">
        <v>42</v>
      </c>
    </row>
    <row r="2" spans="1:3" x14ac:dyDescent="0.35">
      <c r="A2" s="4" t="str">
        <f>ChartOfAccounts!A2</f>
        <v>Cash</v>
      </c>
      <c r="B2" s="4" t="str">
        <f>IF(Ledger!D2&gt;0,Ledger!D2,"")</f>
        <v/>
      </c>
      <c r="C2" s="4" t="str">
        <f>IF(Ledger!D2&lt;0,-Ledger!D2,"")</f>
        <v/>
      </c>
    </row>
    <row r="3" spans="1:3" x14ac:dyDescent="0.35">
      <c r="A3" s="4" t="str">
        <f>ChartOfAccounts!A3</f>
        <v>Equipment</v>
      </c>
      <c r="B3" s="4">
        <f>IF(Ledger!D3&gt;0,Ledger!D3,"")</f>
        <v>18000</v>
      </c>
      <c r="C3" s="4" t="str">
        <f>IF(Ledger!D3&lt;0,-Ledger!D3,"")</f>
        <v/>
      </c>
    </row>
    <row r="4" spans="1:3" x14ac:dyDescent="0.35">
      <c r="A4" s="4" t="str">
        <f>ChartOfAccounts!A4</f>
        <v>Office Supplies</v>
      </c>
      <c r="B4" s="4">
        <f>IF(Ledger!D4&gt;0,Ledger!D4,"")</f>
        <v>2200</v>
      </c>
      <c r="C4" s="4" t="str">
        <f>IF(Ledger!D4&lt;0,-Ledger!D4,"")</f>
        <v/>
      </c>
    </row>
    <row r="5" spans="1:3" x14ac:dyDescent="0.35">
      <c r="A5" s="4" t="str">
        <f>ChartOfAccounts!A5</f>
        <v>Accounts Payable</v>
      </c>
      <c r="B5" s="4" t="str">
        <f>IF(Ledger!D5&gt;0,Ledger!D5,"")</f>
        <v/>
      </c>
      <c r="C5" s="4">
        <f>IF(Ledger!D5&lt;0,-Ledger!D5,"")</f>
        <v>2200</v>
      </c>
    </row>
    <row r="6" spans="1:3" x14ac:dyDescent="0.35">
      <c r="A6" s="4" t="str">
        <f>ChartOfAccounts!A6</f>
        <v>Owner's Capital</v>
      </c>
      <c r="B6" s="4" t="str">
        <f>IF(Ledger!D6&gt;0,Ledger!D6,"")</f>
        <v/>
      </c>
      <c r="C6" s="4">
        <f>IF(Ledger!D6&lt;0,-Ledger!D6,"")</f>
        <v>18300</v>
      </c>
    </row>
    <row r="7" spans="1:3" x14ac:dyDescent="0.35">
      <c r="A7" s="4" t="str">
        <f>ChartOfAccounts!A7</f>
        <v>Rent Expense</v>
      </c>
      <c r="B7" s="4">
        <f>IF(Ledger!D7&gt;0,Ledger!D7,"")</f>
        <v>2700</v>
      </c>
      <c r="C7" s="4" t="str">
        <f>IF(Ledger!D7&lt;0,-Ledger!D7,"")</f>
        <v/>
      </c>
    </row>
    <row r="8" spans="1:3" x14ac:dyDescent="0.35">
      <c r="A8" s="4" t="str">
        <f>ChartOfAccounts!A8</f>
        <v>Salaries Expense</v>
      </c>
      <c r="B8" s="4">
        <f>IF(Ledger!D8&gt;0,Ledger!D8,"")</f>
        <v>3200</v>
      </c>
      <c r="C8" s="4" t="str">
        <f>IF(Ledger!D8&lt;0,-Ledger!D8,"")</f>
        <v/>
      </c>
    </row>
    <row r="9" spans="1:3" x14ac:dyDescent="0.35">
      <c r="A9" s="4"/>
      <c r="B9" s="4"/>
      <c r="C9" s="4"/>
    </row>
    <row r="10" spans="1:3" x14ac:dyDescent="0.35">
      <c r="A10" s="4" t="s">
        <v>50</v>
      </c>
      <c r="B10" s="5">
        <f>SUM(B2:B8)</f>
        <v>26100</v>
      </c>
      <c r="C10" s="5">
        <f>SUM(C2:C8)</f>
        <v>20500</v>
      </c>
    </row>
    <row r="11" spans="1:3" x14ac:dyDescent="0.35">
      <c r="A11" s="4" t="s">
        <v>51</v>
      </c>
      <c r="B11" s="5">
        <f>B10-C10</f>
        <v>5600</v>
      </c>
      <c r="C11" s="4"/>
    </row>
    <row r="12" spans="1:3" x14ac:dyDescent="0.35">
      <c r="A12" s="4" t="s">
        <v>47</v>
      </c>
      <c r="B12" s="4" t="str">
        <f>IF(ABS(B11)&lt;0.01,"BALANCED","ERROR")</f>
        <v>ERROR</v>
      </c>
      <c r="C12" s="4"/>
    </row>
  </sheetData>
  <conditionalFormatting sqref="B12">
    <cfRule type="expression" dxfId="1" priority="1">
      <formula>$B$12="ERROR"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showGridLines="0" tabSelected="1" workbookViewId="0"/>
  </sheetViews>
  <sheetFormatPr defaultRowHeight="14.5" x14ac:dyDescent="0.35"/>
  <cols>
    <col min="1" max="1" width="28" customWidth="1"/>
    <col min="2" max="2" width="18" customWidth="1"/>
    <col min="3" max="3" width="4" customWidth="1"/>
    <col min="4" max="4" width="28" customWidth="1"/>
    <col min="5" max="5" width="18" customWidth="1"/>
  </cols>
  <sheetData>
    <row r="1" spans="1:5" ht="42" x14ac:dyDescent="0.35">
      <c r="A1" s="6" t="s">
        <v>52</v>
      </c>
      <c r="B1" s="4"/>
      <c r="C1" s="4"/>
      <c r="D1" s="4"/>
      <c r="E1" s="4"/>
    </row>
    <row r="2" spans="1:5" x14ac:dyDescent="0.35">
      <c r="A2" s="4"/>
      <c r="B2" s="4"/>
      <c r="C2" s="4"/>
      <c r="D2" s="4"/>
      <c r="E2" s="4"/>
    </row>
    <row r="3" spans="1:5" ht="17" x14ac:dyDescent="0.35">
      <c r="A3" s="8" t="s">
        <v>53</v>
      </c>
      <c r="B3" s="4"/>
      <c r="C3" s="4"/>
      <c r="D3" s="8" t="s">
        <v>54</v>
      </c>
      <c r="E3" s="4"/>
    </row>
    <row r="4" spans="1:5" x14ac:dyDescent="0.35">
      <c r="A4" s="4" t="s">
        <v>19</v>
      </c>
      <c r="B4" s="5">
        <f>SUMIF(TrialBalance!A:A,"*Revenue*",TrialBalance!C:C)</f>
        <v>0</v>
      </c>
      <c r="C4" s="4"/>
      <c r="D4" s="9" t="s">
        <v>55</v>
      </c>
      <c r="E4" s="4"/>
    </row>
    <row r="5" spans="1:5" x14ac:dyDescent="0.35">
      <c r="A5" s="4" t="s">
        <v>15</v>
      </c>
      <c r="B5" s="5">
        <f>-SUMIF(TrialBalance!A:A,"*Rent Expense*",TrialBalance!B:B)</f>
        <v>-2700</v>
      </c>
      <c r="C5" s="4"/>
      <c r="D5" s="4" t="s">
        <v>3</v>
      </c>
      <c r="E5" s="5">
        <f>IFERROR(INDEX(TrialBalance!B:B,MATCH("Cash",TrialBalance!A:A,0))-INDEX(TrialBalance!C:C,MATCH("Cash",TrialBalance!A:A,0)),0)</f>
        <v>0</v>
      </c>
    </row>
    <row r="6" spans="1:5" x14ac:dyDescent="0.35">
      <c r="A6" s="4" t="s">
        <v>18</v>
      </c>
      <c r="B6" s="5">
        <f>-SUMIF(TrialBalance!A:A,"*Salaries Expense*",TrialBalance!B:B)</f>
        <v>-3200</v>
      </c>
      <c r="C6" s="4"/>
      <c r="D6" s="4" t="s">
        <v>6</v>
      </c>
      <c r="E6" s="5">
        <f>IFERROR(INDEX(TrialBalance!B:B,MATCH("Equipment",TrialBalance!A:A,0))-INDEX(TrialBalance!C:C,MATCH("Equipment",TrialBalance!A:A,0)),0)</f>
        <v>0</v>
      </c>
    </row>
    <row r="7" spans="1:5" x14ac:dyDescent="0.35">
      <c r="A7" s="4" t="s">
        <v>56</v>
      </c>
      <c r="B7" s="5">
        <f>SUM(B5:B6)</f>
        <v>-5900</v>
      </c>
      <c r="C7" s="4"/>
      <c r="D7" s="4" t="s">
        <v>8</v>
      </c>
      <c r="E7" s="5">
        <f>IFERROR(INDEX(TrialBalance!B:B,MATCH("Office Supplies",TrialBalance!A:A,0))-INDEX(TrialBalance!C:C,MATCH("Office Supplies",TrialBalance!A:A,0)),0)</f>
        <v>0</v>
      </c>
    </row>
    <row r="8" spans="1:5" x14ac:dyDescent="0.35">
      <c r="A8" s="4" t="s">
        <v>57</v>
      </c>
      <c r="B8" s="5">
        <f>B4+B7</f>
        <v>-5900</v>
      </c>
      <c r="C8" s="4"/>
      <c r="D8" s="4" t="s">
        <v>58</v>
      </c>
      <c r="E8" s="5">
        <f>SUM(E5:E7)</f>
        <v>0</v>
      </c>
    </row>
    <row r="9" spans="1:5" x14ac:dyDescent="0.35">
      <c r="A9" s="4"/>
      <c r="B9" s="4"/>
      <c r="C9" s="4"/>
      <c r="D9" s="4"/>
      <c r="E9" s="4"/>
    </row>
    <row r="10" spans="1:5" x14ac:dyDescent="0.35">
      <c r="A10" s="4"/>
      <c r="B10" s="4"/>
      <c r="C10" s="4"/>
      <c r="D10" s="9" t="s">
        <v>59</v>
      </c>
      <c r="E10" s="4"/>
    </row>
    <row r="11" spans="1:5" x14ac:dyDescent="0.35">
      <c r="A11" s="4"/>
      <c r="B11" s="4"/>
      <c r="C11" s="4"/>
      <c r="D11" s="4" t="s">
        <v>9</v>
      </c>
      <c r="E11" s="5">
        <f>IFERROR(INDEX(TrialBalance!C:C,MATCH("Accounts Payable",TrialBalance!A:A,0))-INDEX(TrialBalance!B:B,MATCH("Accounts Payable",TrialBalance!A:A,0)),0)</f>
        <v>0</v>
      </c>
    </row>
    <row r="12" spans="1:5" x14ac:dyDescent="0.35">
      <c r="A12" s="4"/>
      <c r="B12" s="4"/>
      <c r="C12" s="4"/>
      <c r="D12" s="4" t="s">
        <v>60</v>
      </c>
      <c r="E12" s="5">
        <f>E11</f>
        <v>0</v>
      </c>
    </row>
    <row r="13" spans="1:5" x14ac:dyDescent="0.35">
      <c r="A13" s="4"/>
      <c r="B13" s="4"/>
      <c r="C13" s="4"/>
      <c r="D13" s="4"/>
      <c r="E13" s="4"/>
    </row>
    <row r="14" spans="1:5" x14ac:dyDescent="0.35">
      <c r="A14" s="4"/>
      <c r="B14" s="4"/>
      <c r="C14" s="4"/>
      <c r="D14" s="9" t="s">
        <v>13</v>
      </c>
      <c r="E14" s="4"/>
    </row>
    <row r="15" spans="1:5" x14ac:dyDescent="0.35">
      <c r="A15" s="4"/>
      <c r="B15" s="4"/>
      <c r="C15" s="4"/>
      <c r="D15" s="4" t="s">
        <v>12</v>
      </c>
      <c r="E15" s="5">
        <f>IFERROR(INDEX(TrialBalance!C:C,MATCH("Owner's Capital",TrialBalance!A:A,0))-INDEX(TrialBalance!B:B,MATCH("Owner's Capital",TrialBalance!A:A,0)),0)</f>
        <v>0</v>
      </c>
    </row>
    <row r="16" spans="1:5" x14ac:dyDescent="0.35">
      <c r="A16" s="4"/>
      <c r="B16" s="4"/>
      <c r="C16" s="4"/>
      <c r="D16" s="4" t="s">
        <v>61</v>
      </c>
      <c r="E16" s="5">
        <f>B8</f>
        <v>-5900</v>
      </c>
    </row>
    <row r="17" spans="1:5" x14ac:dyDescent="0.35">
      <c r="A17" s="4"/>
      <c r="B17" s="4"/>
      <c r="C17" s="4"/>
      <c r="D17" s="4" t="s">
        <v>62</v>
      </c>
      <c r="E17" s="5">
        <f>SUM(E15:E16)</f>
        <v>-5900</v>
      </c>
    </row>
    <row r="18" spans="1:5" x14ac:dyDescent="0.35">
      <c r="A18" s="4"/>
      <c r="B18" s="4"/>
      <c r="C18" s="4"/>
      <c r="D18" s="4"/>
      <c r="E18" s="4"/>
    </row>
    <row r="19" spans="1:5" x14ac:dyDescent="0.35">
      <c r="A19" s="4"/>
      <c r="B19" s="4"/>
      <c r="C19" s="4"/>
      <c r="D19" s="4" t="s">
        <v>63</v>
      </c>
      <c r="E19" s="5">
        <f>E12+E17</f>
        <v>-5900</v>
      </c>
    </row>
    <row r="20" spans="1:5" x14ac:dyDescent="0.35">
      <c r="A20" s="4"/>
      <c r="B20" s="4"/>
      <c r="C20" s="4"/>
      <c r="D20" s="4" t="s">
        <v>64</v>
      </c>
      <c r="E20" s="5">
        <f>E8-E19</f>
        <v>5900</v>
      </c>
    </row>
    <row r="21" spans="1:5" x14ac:dyDescent="0.35">
      <c r="A21" s="4"/>
      <c r="B21" s="4"/>
      <c r="C21" s="4"/>
      <c r="D21" s="4" t="s">
        <v>47</v>
      </c>
      <c r="E21" s="4" t="str">
        <f>IF(ABS(E20)&lt;0.01,"BALANCED","CHECK")</f>
        <v>CHECK</v>
      </c>
    </row>
  </sheetData>
  <conditionalFormatting sqref="E21">
    <cfRule type="expression" dxfId="0" priority="1">
      <formula>$E$21="CHECK"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ChartOfAccounts</vt:lpstr>
      <vt:lpstr>NewTransaction</vt:lpstr>
      <vt:lpstr>Journal</vt:lpstr>
      <vt:lpstr>Ledger</vt:lpstr>
      <vt:lpstr>TAccounts</vt:lpstr>
      <vt:lpstr>TrialBalance</vt:lpstr>
      <vt:lpstr>FinancialStatements</vt:lpstr>
      <vt:lpstr>AccountList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Sandra Stasaityte</cp:lastModifiedBy>
  <dcterms:created xsi:type="dcterms:W3CDTF">2026-09-04T14:46:54Z</dcterms:created>
  <dcterms:modified xsi:type="dcterms:W3CDTF">2026-09-04T14:49:50Z</dcterms:modified>
</cp:coreProperties>
</file>